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enrico/Desktop/Scozia/exports/"/>
    </mc:Choice>
  </mc:AlternateContent>
  <xr:revisionPtr revIDLastSave="0" documentId="13_ncr:1_{C21A73E9-B155-8D4B-AFE9-73B5851DD7AC}" xr6:coauthVersionLast="47" xr6:coauthVersionMax="47" xr10:uidLastSave="{00000000-0000-0000-0000-000000000000}"/>
  <bookViews>
    <workbookView xWindow="0" yWindow="660" windowWidth="34560" windowHeight="20620" activeTab="3" xr2:uid="{00000000-000D-0000-FFFF-FFFF00000000}"/>
  </bookViews>
  <sheets>
    <sheet name="Istruzioni" sheetId="1" r:id="rId1"/>
    <sheet name="Luoghi (Eventi)" sheetId="2" r:id="rId2"/>
    <sheet name="Data Model" sheetId="3" r:id="rId3"/>
    <sheet name="Cosa manca" sheetId="4" r:id="rId4"/>
    <sheet name="Trash" sheetId="5" r:id="rId5"/>
  </sheets>
  <definedNames>
    <definedName name="_xlnm._FilterDatabase" localSheetId="3" hidden="1">'Cosa manca'!$A$1:$K$53</definedName>
    <definedName name="_xlnm._FilterDatabase" localSheetId="2" hidden="1">'Data Model'!$A$1:$F$22</definedName>
    <definedName name="_xlnm._FilterDatabase" localSheetId="1" hidden="1">'Luoghi (Eventi)'!$A$1:$T$53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3" i="5" l="1"/>
  <c r="AU52" i="5"/>
  <c r="AU51" i="5"/>
  <c r="AU50" i="5"/>
  <c r="AU49" i="5"/>
  <c r="AU48" i="5"/>
  <c r="AU47" i="5"/>
  <c r="AU46" i="5"/>
  <c r="AU45" i="5"/>
  <c r="AU44" i="5"/>
  <c r="AU43" i="5"/>
  <c r="AU42" i="5"/>
  <c r="AU41" i="5"/>
  <c r="AU40" i="5"/>
  <c r="AU39" i="5"/>
  <c r="AU38" i="5"/>
  <c r="AU37" i="5"/>
  <c r="AU36" i="5"/>
  <c r="AU35" i="5"/>
  <c r="AU34" i="5"/>
  <c r="AU33" i="5"/>
  <c r="AU32" i="5"/>
  <c r="AU31" i="5"/>
  <c r="AU30" i="5"/>
  <c r="AU29" i="5"/>
  <c r="AU28" i="5"/>
  <c r="AU27" i="5"/>
  <c r="AU26" i="5"/>
  <c r="AU25" i="5"/>
  <c r="AU24" i="5"/>
  <c r="AU23" i="5"/>
  <c r="AU22" i="5"/>
  <c r="AU21" i="5"/>
  <c r="AU20" i="5"/>
  <c r="AU19" i="5"/>
  <c r="AU18" i="5"/>
  <c r="AU17" i="5"/>
  <c r="AU16" i="5"/>
  <c r="AU15" i="5"/>
  <c r="AU14" i="5"/>
  <c r="AU13" i="5"/>
  <c r="AU12" i="5"/>
  <c r="AU11" i="5"/>
  <c r="AU10" i="5"/>
  <c r="AU9" i="5"/>
  <c r="AU8" i="5"/>
  <c r="AU7" i="5"/>
  <c r="AU6" i="5"/>
  <c r="AU5" i="5"/>
  <c r="AU4" i="5"/>
  <c r="AU3" i="5"/>
  <c r="AU2" i="5"/>
  <c r="A2" i="5" s="1" a="1"/>
  <c r="A2" i="5" s="1"/>
  <c r="AP53" i="5"/>
  <c r="AP52" i="5"/>
  <c r="AP51" i="5"/>
  <c r="AP50" i="5"/>
  <c r="AP49" i="5"/>
  <c r="AP48" i="5"/>
  <c r="AP47" i="5"/>
  <c r="AP46" i="5"/>
  <c r="AP45" i="5"/>
  <c r="AP44" i="5"/>
  <c r="AP43" i="5"/>
  <c r="AP42" i="5"/>
  <c r="AP41" i="5"/>
  <c r="AP40" i="5"/>
  <c r="AP3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P8" i="5"/>
  <c r="AP7" i="5"/>
  <c r="AP6" i="5"/>
  <c r="AP5" i="5"/>
  <c r="AP4" i="5"/>
  <c r="AP3" i="5"/>
  <c r="AP2" i="5"/>
  <c r="AO53" i="5"/>
  <c r="AO52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O24" i="5"/>
  <c r="AO23" i="5"/>
  <c r="AO22" i="5"/>
  <c r="AO21" i="5"/>
  <c r="AO20" i="5"/>
  <c r="AO19" i="5"/>
  <c r="AO18" i="5"/>
  <c r="AO17" i="5"/>
  <c r="AO16" i="5"/>
  <c r="AO15" i="5"/>
  <c r="AO14" i="5"/>
  <c r="AO13" i="5"/>
  <c r="AO12" i="5"/>
  <c r="AO11" i="5"/>
  <c r="AO10" i="5"/>
  <c r="AO9" i="5"/>
  <c r="AO8" i="5"/>
  <c r="AO7" i="5"/>
  <c r="AO6" i="5"/>
  <c r="AO5" i="5"/>
  <c r="AO4" i="5"/>
  <c r="AO3" i="5"/>
  <c r="AO2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5" i="5"/>
  <c r="AN4" i="5"/>
  <c r="AN3" i="5"/>
  <c r="AN2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M4" i="5"/>
  <c r="AM3" i="5"/>
  <c r="AM2" i="5"/>
  <c r="AL53" i="5"/>
  <c r="AL52" i="5"/>
  <c r="AL51" i="5"/>
  <c r="AL50" i="5"/>
  <c r="AL49" i="5"/>
  <c r="AL48" i="5"/>
  <c r="AL47" i="5"/>
  <c r="AL46" i="5"/>
  <c r="AL45" i="5"/>
  <c r="AL44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L8" i="5"/>
  <c r="AL7" i="5"/>
  <c r="AL6" i="5"/>
  <c r="AL5" i="5"/>
  <c r="AL4" i="5"/>
  <c r="AL3" i="5"/>
  <c r="AL2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J2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F3" i="5"/>
  <c r="AF2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2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B4" i="5"/>
  <c r="AB3" i="5"/>
  <c r="AB2" i="5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<sst xmlns="http://schemas.openxmlformats.org/spreadsheetml/2006/main" count="799" uniqueCount="436">
  <si>
    <t>Scozia 2026 — Data model dei luoghi</t>
  </si>
  <si>
    <t>Periodo: 2026-08-10 → 2026-08-16  ·  Eventi totali: 52  ·  Esportato dal database il 03/08/2026</t>
  </si>
  <si>
    <t>Come usare questo file</t>
  </si>
  <si>
    <t>1) Foglio 'Luoghi (Eventi)': una riga per ogni luogo/tappa del viaggio, con tutti i campi che l'app usa. È il foglio da modificare.</t>
  </si>
  <si>
    <t>2) Foglio 'Data Model': spiega ogni colonna — cosa significa, se è obbligatoria, quali valori accetta e a cosa serve nell'app.</t>
  </si>
  <si>
    <t>3) Foglio 'Cosa manca': una vista rapida che segnala, per ogni tappa, quali campi utili sono ancora vuoti (rosso = manca, verde = presente).</t>
  </si>
  <si>
    <t>Colonne evidenziate in giallo nel foglio 'Luoghi': campi vuoti nelle colonne più importanti (Place ID Maps, sito, prezzo, orari, descrizione, giorno, ora). Non è detto che vadano tutte riempite (es. un evento facoltativo può non avere un giorno assegnato), ma vale la pena controllarle.</t>
  </si>
  <si>
    <t>Campi in grigio (ID, Saltato, Minuti di ritardo): gestiti dall'app, non modificare — servono solo per capire cosa NON toccare.</t>
  </si>
  <si>
    <t>Il più importante da completare: 'Google Maps Place ID'. Senza questo campo la tappa non compare sulla mappa e l'app non riesce a calcolare i tempi di spostamento da/verso quel luogo (né a scegliere se è in auto, a piedi o con mezzi pubblici).</t>
  </si>
  <si>
    <t>Una volta compilato, il file può essere usato per aggiornare il database (richiedimelo in chat: leggo questo Excel e applico le modifiche riga per riga).</t>
  </si>
  <si>
    <t>ID (non modificare)</t>
  </si>
  <si>
    <t>Giorno</t>
  </si>
  <si>
    <t>Categoria</t>
  </si>
  <si>
    <t>Nome</t>
  </si>
  <si>
    <t>Stato piano</t>
  </si>
  <si>
    <t>Ora inizio</t>
  </si>
  <si>
    <t>Etichetta ora inizio</t>
  </si>
  <si>
    <t>Ora fine</t>
  </si>
  <si>
    <t>Etichetta ora fine</t>
  </si>
  <si>
    <t>Google Maps Place ID</t>
  </si>
  <si>
    <t>Link Google Maps</t>
  </si>
  <si>
    <t>Sito web</t>
  </si>
  <si>
    <t>Prezzo</t>
  </si>
  <si>
    <t>Orari di apertura</t>
  </si>
  <si>
    <t>Descrizione</t>
  </si>
  <si>
    <t>Contatto</t>
  </si>
  <si>
    <t>Dipende dal meteo</t>
  </si>
  <si>
    <t>Priorità</t>
  </si>
  <si>
    <t>Saltato (gestito dall'app)</t>
  </si>
  <si>
    <t>Minuti di ritardo (gestito dall'app)</t>
  </si>
  <si>
    <t>902a25b8-6bda-4f7b-b757-717930c52c3a</t>
  </si>
  <si>
    <t>Trasporto</t>
  </si>
  <si>
    <t>Volo di arrivo LH964 (Edimburgo)</t>
  </si>
  <si>
    <t>Nel piano</t>
  </si>
  <si>
    <t>arrivo previsto</t>
  </si>
  <si>
    <t>ChIJfQHjkw7Fh0gRm9WxkiUKUxk</t>
  </si>
  <si>
    <t>Volo Lufthansa in arrivo a Edimburgo. Orario da verificare in tempo reale in caso di ritardi (integrazione con API voli prevista nell'app, non disponibile in questo foglio).</t>
  </si>
  <si>
    <t>NO</t>
  </si>
  <si>
    <t>7f6176cc-e176-42a3-bf4e-e78e68456dc0</t>
  </si>
  <si>
    <t>Alloggio</t>
  </si>
  <si>
    <t>DoubleTree by Hilton Edinburgh Airport</t>
  </si>
  <si>
    <t>check-in</t>
  </si>
  <si>
    <t>Check-out 2026-08-11</t>
  </si>
  <si>
    <t>ChIJgV8j2gXFh0gR-kpGqwUreYk</t>
  </si>
  <si>
    <t>https://www.google.com/maps/place/?q=place_id:ChIJgV8j2gXFh0gR-kpGqwUreYk</t>
  </si>
  <si>
    <t>Hotel 4 stelle a pochi minuti dall'aeroporto di Edimburgo.</t>
  </si>
  <si>
    <t>+44 131 519 4400</t>
  </si>
  <si>
    <t>e7e06bff-7d52-467e-b237-48d23cb4dcbb</t>
  </si>
  <si>
    <t>4X4 Hire Scotland Ltd</t>
  </si>
  <si>
    <t>ritiro auto</t>
  </si>
  <si>
    <t>ChIJm05Y_ibFh0gRrPhn7koVhmQ</t>
  </si>
  <si>
    <t>https://www.google.com/maps/place/?q=place_id:ChIJm05Y_ibFh0gRrPhn7koVhmQ</t>
  </si>
  <si>
    <t>Noleggio di veicoli 4x4 vicino a Edimburgo, utile per strade rurali o sterrate.</t>
  </si>
  <si>
    <t>+44 131 333 5070</t>
  </si>
  <si>
    <t>fd5b06e6-e547-44c4-bd23-9fb853b7b3cc</t>
  </si>
  <si>
    <t>Attività</t>
  </si>
  <si>
    <t>Stirling Castle</t>
  </si>
  <si>
    <t>partenza</t>
  </si>
  <si>
    <t>ChIJp9U8KJJiiEgRZ_tBFfsEUHw</t>
  </si>
  <si>
    <t>https://www.google.com/maps/place/?q=place_id:ChIJp9U8KJJiiEgRZ_tBFfsEUHw</t>
  </si>
  <si>
    <t>09:30-17:00 (tutti i giorni)</t>
  </si>
  <si>
    <t>Uno dei castelli piu importanti di Scozia, legato a Robert the Bruce e Maria Stuarda.</t>
  </si>
  <si>
    <t>+44 1786 450000</t>
  </si>
  <si>
    <t>SI</t>
  </si>
  <si>
    <t>7613017d-bee1-4011-ad76-f33713bb0aea</t>
  </si>
  <si>
    <t>Relax</t>
  </si>
  <si>
    <t>Friend of Mine (Bridge of Allan)</t>
  </si>
  <si>
    <t>ChIJtVaxyOKJiEgR57BtoXBL6WM</t>
  </si>
  <si>
    <t>https://www.google.com/maps/place/?q=place_id:ChIJtVaxyOKJiEgR57BtoXBL6WM</t>
  </si>
  <si>
    <t>friendofmine.co.uk</t>
  </si>
  <si>
    <t>09:00-22:00 (lun-gio/dom), 09:00-23:00 (ven-sab)</t>
  </si>
  <si>
    <t>Cafe-ristorante consigliato per il pranzo dopo Stirling Castle, a Bridge of Allan (pochi minuti dal castello).</t>
  </si>
  <si>
    <t>+44 1786 831386</t>
  </si>
  <si>
    <t>57cf6691-3c8c-414d-9059-b7ca5bf63532</t>
  </si>
  <si>
    <t>Tappa</t>
  </si>
  <si>
    <t>Aviemore</t>
  </si>
  <si>
    <t>partenza, sosta breve</t>
  </si>
  <si>
    <t>ChIJYdwLblnxhUgRA3Kb1RzR3TM</t>
  </si>
  <si>
    <t>https://www.google.com/maps/place/?q=place_id:ChIJYdwLblnxhUgRA3Kb1RzR3TM</t>
  </si>
  <si>
    <t>Cittadina nel cuore dei Cairngorms, base per attivita outdoor.</t>
  </si>
  <si>
    <t>2c70fab6-10f2-4ec2-b209-e98ab2668a5a</t>
  </si>
  <si>
    <t>Cairngorms</t>
  </si>
  <si>
    <t>partenza, trekking ~2h40 + pause</t>
  </si>
  <si>
    <t>ChIJ7wf4EI_xhUgRUvZ6OjtXNZs</t>
  </si>
  <si>
    <t>https://www.google.com/maps/place/?q=place_id:ChIJ7wf4EI_xhUgRUvZ6OjtXNZs</t>
  </si>
  <si>
    <t>3 £ parcheggio (Coire Cas)</t>
  </si>
  <si>
    <t>Sempre aperto</t>
  </si>
  <si>
    <t>Trekking circolare a Coire an t-Sneachda (Cairngorms), partenza dal Coire Cas Car Park (Cairngorm Mountain), vicino ad Aviemore: ~6,5 km, dislivello moderato, viste sulla parete della corrie.</t>
  </si>
  <si>
    <t>4ef59ec3-5605-468b-9779-a309fe4a2de4</t>
  </si>
  <si>
    <t>Hillside Luxury Apartments</t>
  </si>
  <si>
    <t>ChIJYSZpGWtxj0gRDjwCHR3pRfs</t>
  </si>
  <si>
    <t>https://www.google.com/maps/place/?q=place_id:ChIJYSZpGWtxj0gRDjwCHR3pRfs</t>
  </si>
  <si>
    <t>Appartamenti di lusso a Inverness con vista sul castello.</t>
  </si>
  <si>
    <t>+44 1463 223777</t>
  </si>
  <si>
    <t>800bd3a1-c691-4a28-a43d-3c3dc89c4ecf</t>
  </si>
  <si>
    <t>The Mustard Seed Restaurant (Inverness)</t>
  </si>
  <si>
    <t>ChIJxaoRsVNxj0gRNxsTTBxOr2w</t>
  </si>
  <si>
    <t>https://www.google.com/maps/place/?q=place_id:ChIJxaoRsVNxj0gRNxsTTBxOr2w</t>
  </si>
  <si>
    <t>12:00-22:00 (martedi)</t>
  </si>
  <si>
    <t>Ristorante sul fiume Ness, ottime viste. Cena tardiva rispetto alla finestra ideale (18:00-19:30): con il trekking del pomeriggio non e possibile arrivare prima.</t>
  </si>
  <si>
    <t>+44 1463 220220</t>
  </si>
  <si>
    <t>6c7e89f8-0ccf-4d1a-88d4-337b388ddc86</t>
  </si>
  <si>
    <t>Blair Athol Distillery</t>
  </si>
  <si>
    <t>Facoltativo</t>
  </si>
  <si>
    <t>ChIJOVIM5scChkgR0ULoCyffTr8</t>
  </si>
  <si>
    <t>https://www.google.com/maps/place/?q=place_id:ChIJOVIM5scChkgR0ULoCyffTr8</t>
  </si>
  <si>
    <t>10:00-19:00 (tutti i giorni)</t>
  </si>
  <si>
    <t>Una delle distillerie di whisky piu antiche di Scozia, a Pitlochry. (Facoltativa: con il trekking al Cairngorm il tempo si stringe.)</t>
  </si>
  <si>
    <t>+44 1796 482003</t>
  </si>
  <si>
    <t>Bassa</t>
  </si>
  <si>
    <t>863adbc2-539f-49dc-9865-355946d58595</t>
  </si>
  <si>
    <t>Whaligoe Steps</t>
  </si>
  <si>
    <t>ChIJqTrDz-LTmkgROqELD20pqWk</t>
  </si>
  <si>
    <t>https://www.google.com/maps/place/?q=place_id:ChIJqTrDz-LTmkgROqELD20pqWk</t>
  </si>
  <si>
    <t>Gratuito (offerta libera)</t>
  </si>
  <si>
    <t>365 gradini che scendono verso un'antica insenatura dei pescatori, ottimo punto panoramico sulla costa.</t>
  </si>
  <si>
    <t>a1ff5e48-b6e6-414a-b81b-9a2a3861698a</t>
  </si>
  <si>
    <t>No.1 Bistro (Wick) - pranzo</t>
  </si>
  <si>
    <t>ChIJP9l9fLXXmkgR5toM25Bxmz4</t>
  </si>
  <si>
    <t>https://www.google.com/maps/place/?q=place_id:ChIJP9l9fLXXmkgR5toM25Bxmz4</t>
  </si>
  <si>
    <t>11:00-13:45 e 17:30-20:30 (mercoledi)</t>
  </si>
  <si>
    <t>Bistrot molto apprezzato nel centro di Wick, servizio pranzo entro le 13:45.</t>
  </si>
  <si>
    <t>+44 1955 602323</t>
  </si>
  <si>
    <t>3d40d01e-1851-4733-bcea-a14505f63754</t>
  </si>
  <si>
    <t>Duncansby Stacks</t>
  </si>
  <si>
    <t>partenza, incl. faro</t>
  </si>
  <si>
    <t>ChIJE1CdVm_fmkgRFgVyZCsDn24</t>
  </si>
  <si>
    <t>https://www.google.com/maps/place/?q=place_id:ChIJE1CdVm_fmkgRFgVyZCsDn24</t>
  </si>
  <si>
    <t>Faraglioni spettacolari vicino a John o' Groats, raggiungibili a piedi dal faro di Duncansby.</t>
  </si>
  <si>
    <t>ed33b34e-a541-46fb-98ea-43afe284fd49</t>
  </si>
  <si>
    <t>John o' Groats</t>
  </si>
  <si>
    <t>ChIJw1K-uCLfmkgRdMW19Tfb-IY</t>
  </si>
  <si>
    <t>https://www.google.com/maps/place/?q=place_id:ChIJw1K-uCLfmkgRdMW19Tfb-IY</t>
  </si>
  <si>
    <t>Punto piu a nord-est della Scozia continentale, tappa fotografica simbolica.</t>
  </si>
  <si>
    <t>0ee96b2a-c168-4cd4-9cf6-df38a017e074</t>
  </si>
  <si>
    <t>No.1 Bistro (Wick) - cena</t>
  </si>
  <si>
    <t>Stesso locale del pranzo, turno cena entro le 20:30. Dopo cena, ~20 min di guida fino a Beyond North Cabins.</t>
  </si>
  <si>
    <t>03805648-cfa7-4a7b-b880-d116aac5fa8f</t>
  </si>
  <si>
    <t>Beyond North Cabins</t>
  </si>
  <si>
    <t>ChIJXX_SasbdmkgRXLlpJV89vh0</t>
  </si>
  <si>
    <t>https://www.google.com/maps/place/?q=place_id:ChIJXX_SasbdmkgRXLlpJV89vh0</t>
  </si>
  <si>
    <t>Cabin di lusso vicino a John o' Groats, nell'estremo nord della Scozia.</t>
  </si>
  <si>
    <t>+44 7921 338511</t>
  </si>
  <si>
    <t>764e75ff-176c-44fe-8993-32e141724da9</t>
  </si>
  <si>
    <t>Annie's Bakery</t>
  </si>
  <si>
    <t>ChIJjf21ygDXmkgRXbCWDg3cStM</t>
  </si>
  <si>
    <t>https://www.google.com/maps/place/?q=place_id:ChIJjf21ygDXmkgRXbCWDg3cStM</t>
  </si>
  <si>
    <t>Mer/Gio/Ven/Dom 10:00-14:00 (chiuso Lun/Mar/Sab)</t>
  </si>
  <si>
    <t>Panetteria vicino John o' Groats. NON compatibile con l'orario pranzo/cena: chiude alle 14:00 il mercoledi, troppo presto per il programma della giornata.</t>
  </si>
  <si>
    <t>+44 1955 611497</t>
  </si>
  <si>
    <t>afc84429-03d5-46ff-bca4-92460a640f4a</t>
  </si>
  <si>
    <t>Burn of Midsand Nature Reserve</t>
  </si>
  <si>
    <t>ChIJ1yj1JJDFmkgRHZg48CEhWD4</t>
  </si>
  <si>
    <t>https://www.google.com/maps/place/?q=place_id:ChIJ1yj1JJDFmkgRHZg48CEhWD4</t>
  </si>
  <si>
    <t>Riserva naturale costiera con dune, ottima per birdwatching.</t>
  </si>
  <si>
    <t>7db4e386-3ab2-4db3-8e30-7605ff0ecec6</t>
  </si>
  <si>
    <t>Peedie Sands</t>
  </si>
  <si>
    <t>ChIJwalQylDDmkgR40kXTOmR1oE</t>
  </si>
  <si>
    <t>https://www.google.com/maps/place/?q=place_id:ChIJwalQylDDmkgR40kXTOmR1oE</t>
  </si>
  <si>
    <t>Piccola spiaggia nascosta vicino a Thurso, raggiungibile con una breve camminata.</t>
  </si>
  <si>
    <t>f7c31396-bfd3-4d4c-9927-24199170cd62</t>
  </si>
  <si>
    <t>Stannergill Whisky Distillery at Castletown Mill</t>
  </si>
  <si>
    <t>ChIJvTCqhHXFmkgRdnCmdWAyL_4</t>
  </si>
  <si>
    <t>https://www.google.com/maps/place/?q=place_id:ChIJvTCqhHXFmkgRdnCmdWAyL_4</t>
  </si>
  <si>
    <t>10:00-17:00 (tutti i giorni)</t>
  </si>
  <si>
    <t>Mulino storico restaurato con piccola distilleria e ristorante, vicino a Thurso. Apre alle 10:00: arrivo consigliato non prima.</t>
  </si>
  <si>
    <t>+44 1847 698063</t>
  </si>
  <si>
    <t>804a280d-1910-491f-8e97-2f5d0857d2dc</t>
  </si>
  <si>
    <t>Red Pepper (Thurso) - pranzo</t>
  </si>
  <si>
    <t>ChIJxXzH-Ku4mkgRtac1qTh5TPQ</t>
  </si>
  <si>
    <t>https://www.google.com/maps/place/?q=place_id:ChIJxXzH-Ku4mkgRtac1qTh5TPQ</t>
  </si>
  <si>
    <t>12:00-14:00 e 17:00-20:30 (mercoledi)</t>
  </si>
  <si>
    <t>Ristorante nel centro di Thurso, dentro l'Holborn Hotel. Buoni voti, anche opzioni senza glutine.</t>
  </si>
  <si>
    <t>+44 1847 892771</t>
  </si>
  <si>
    <t>ea91661e-4333-45b6-a0fe-b60ca2642c6a</t>
  </si>
  <si>
    <t>Melvich Beach</t>
  </si>
  <si>
    <t>ChIJNyzcb5mmmkgRMfmr3iqK0z0</t>
  </si>
  <si>
    <t>https://www.google.com/maps/place/?q=place_id:ChIJNyzcb5mmmkgRMfmr3iqK0z0</t>
  </si>
  <si>
    <t>Ampia spiaggia di sabbia dorata nel nord della Scozia, tranquilla e panoramica.</t>
  </si>
  <si>
    <t>96273d44-a329-45f4-a9bd-7c6f4e6d9427</t>
  </si>
  <si>
    <t>Allt Chranaidh Waterfall</t>
  </si>
  <si>
    <t>ChIJ4ZDPCfHVj0gRMdAk-G55TXE</t>
  </si>
  <si>
    <t>https://www.google.com/maps/place/?q=place_id:ChIJ4ZDPCfHVj0gRMdAk-G55TXE</t>
  </si>
  <si>
    <t>Cascata raggiungibile con una breve camminata su sentiero sterrato, talvolta fangoso.</t>
  </si>
  <si>
    <t>f94a1f5f-1a84-41cf-9edb-4e2d22b1698c</t>
  </si>
  <si>
    <t>Ullapool</t>
  </si>
  <si>
    <t>ChIJYbOnt_swjkgRDcjJAXOTxFk</t>
  </si>
  <si>
    <t>https://www.google.com/maps/place/?q=place_id:ChIJYbOnt_swjkgRDcjJAXOTxFk</t>
  </si>
  <si>
    <t>Cittadina portuale sulla costa nord-occidentale, imbarco dei traghetti per le Ebridi Esterne.</t>
  </si>
  <si>
    <t>9393544e-d168-43a7-933f-36d1e99c1259</t>
  </si>
  <si>
    <t>Seafood Shack (Ullapool)</t>
  </si>
  <si>
    <t>partenza, cena</t>
  </si>
  <si>
    <t>ChIJqfsPNCRIjkgRQf2FZxMX0RU</t>
  </si>
  <si>
    <t>https://www.google.com/maps/place/?q=place_id:ChIJqfsPNCRIjkgRQf2FZxMX0RU</t>
  </si>
  <si>
    <t>10-20 £</t>
  </si>
  <si>
    <t>12:00-20:00 (tutti i giorni)</t>
  </si>
  <si>
    <t>Chiosco di pesce molto apprezzato a Ullapool, aperto fino alle 20:00: usato qui come tappa cena, non pranzo.</t>
  </si>
  <si>
    <t>a30ce24a-88a2-4821-84a9-71e3a157bb6f</t>
  </si>
  <si>
    <t>Tidal Reach</t>
  </si>
  <si>
    <t>Check-out 2026-08-15</t>
  </si>
  <si>
    <t>ChIJo1hDAwCzjUgRCswRm6dW4U8</t>
  </si>
  <si>
    <t>https://www.google.com/maps/place/?q=place_id:ChIJo1hDAwCzjUgRCswRm6dW4U8</t>
  </si>
  <si>
    <t>Alloggio con uso cucina sull'Isola di Skye. ATTENZIONE: con le pause di guida incluse il check-in arriva a tarda sera; verificare con la struttura la possibilita di arrivo autonomo/self check-in.</t>
  </si>
  <si>
    <t>c4dd8093-bbd3-4c62-b03e-2edef1143bfc</t>
  </si>
  <si>
    <t>Bealach na Ba</t>
  </si>
  <si>
    <t>ChIJGVMFmBiEjkgRQyUcmylOvDU</t>
  </si>
  <si>
    <t>https://www.google.com/maps/place/?q=place_id:ChIJGVMFmBiEjkgRQyUcmylOvDU</t>
  </si>
  <si>
    <t>Strada di montagna panoramica con tornanti, una delle salite piu spettacolari della Scozia.</t>
  </si>
  <si>
    <t>6fd9eb47-5c76-4669-b68a-ebcd3ec98a99</t>
  </si>
  <si>
    <t>Old Man of Storr - Parcheggio</t>
  </si>
  <si>
    <t>fine trekking, ~2h</t>
  </si>
  <si>
    <t>ChIJsafGmVnNjUgR655wsjZ5LX8</t>
  </si>
  <si>
    <t>https://www.google.com/maps/place/?q=place_id:ChIJsafGmVnNjUgR655wsjZ5LX8</t>
  </si>
  <si>
    <t>~8 £ / 6h</t>
  </si>
  <si>
    <t>Trekking all'Old Man of Storr: ~3,8 km a/r, sentiero ripido nella parte finale, molto panoramico. Partenza dal parcheggio.</t>
  </si>
  <si>
    <t>668f0a0b-7fac-428b-8191-ef935620d85d</t>
  </si>
  <si>
    <t>Portree</t>
  </si>
  <si>
    <t>ChIJHQfTm-EvjEgRFWk4InoLHRA</t>
  </si>
  <si>
    <t>https://www.google.com/maps/place/?q=place_id:ChIJHQfTm-EvjEgRFWk4InoLHRA</t>
  </si>
  <si>
    <t>Capoluogo dell'Isola di Skye, porto colorato e base per esplorare l'isola.</t>
  </si>
  <si>
    <t>Media</t>
  </si>
  <si>
    <t>7d41718c-a817-425c-8a78-ef8f2b088661</t>
  </si>
  <si>
    <t>Sea Breezes (Portree) - pranzo</t>
  </si>
  <si>
    <t>ChIJw0BBvC0yjEgRNVtV9vap2a0</t>
  </si>
  <si>
    <t>https://www.google.com/maps/place/?q=place_id:ChIJw0BBvC0yjEgRNVtV9vap2a0</t>
  </si>
  <si>
    <t>12:00-14:00 e 17:30-21:00 (venerdi)</t>
  </si>
  <si>
    <t>Ristorante di pesce molto popolare sul porto di Portree; consigliato arrivare presto, si formano code.</t>
  </si>
  <si>
    <t>+44 1478 612016</t>
  </si>
  <si>
    <t>e3c65488-902d-4e60-a986-b40816371ce9</t>
  </si>
  <si>
    <t>Fairy Pools</t>
  </si>
  <si>
    <t>ChIJEd0VoW05jEgRffGsm5G5y34</t>
  </si>
  <si>
    <t>https://www.google.com/maps/place/?q=place_id:ChIJEd0VoW05jEgRffGsm5G5y34</t>
  </si>
  <si>
    <t>~8 £ parcheggio</t>
  </si>
  <si>
    <t>Pozze naturali di acqua cristallina raggiungibili con una camminata panoramica sull'Isola di Skye.</t>
  </si>
  <si>
    <t>ddc42bc9-c0d7-4e68-8bb7-44b6db5519cd</t>
  </si>
  <si>
    <t>Talisker Distillery</t>
  </si>
  <si>
    <t>ChIJE9KVQQI4jEgRiTTmjkiThc0</t>
  </si>
  <si>
    <t>https://www.google.com/maps/place/?q=place_id:ChIJE9KVQQI4jEgRiTTmjkiThc0</t>
  </si>
  <si>
    <t>Storica distilleria di whisky sull'Isola di Skye, affacciata sul mare.</t>
  </si>
  <si>
    <t>+44 1478 614308</t>
  </si>
  <si>
    <t>f7a8d379-b8a0-475e-a9a5-c0ecb53547d3</t>
  </si>
  <si>
    <t>The Bistro at Atholl House (Dunvegan) - cena</t>
  </si>
  <si>
    <t>ChIJL1MQW91NjEgRyrzKxb3IWm8</t>
  </si>
  <si>
    <t>https://www.google.com/maps/place/?q=place_id:ChIJL1MQW91NjEgRyrzKxb3IWm8</t>
  </si>
  <si>
    <t>17:00-19:30 (venerdi, ultimo ordine)</t>
  </si>
  <si>
    <t>Piccolo bistrot vicino a Tidal Reach, cucina locale. Chiude alle 19:30: prenotare in anticipo. Dopo cena, ~20 min fino a Neist Point per il tramonto.</t>
  </si>
  <si>
    <t>+44 1470 521810</t>
  </si>
  <si>
    <t>3b4f5a49-787f-46a0-9dbd-e5d3bbf4aeb9</t>
  </si>
  <si>
    <t>Neist Point</t>
  </si>
  <si>
    <t>arrivo, attesa tramonto</t>
  </si>
  <si>
    <t>ChIJGzTtLIJUjEgRqkiiM77pK1c</t>
  </si>
  <si>
    <t>https://www.google.com/maps/place/?q=place_id:ChIJGzTtLIJUjEgRqkiiM77pK1c</t>
  </si>
  <si>
    <t>Faro all'estremita occidentale di Skye, punto panoramico spettacolare sulle scogliere.</t>
  </si>
  <si>
    <t>90c31c99-a447-40b1-8756-658ea7c53387</t>
  </si>
  <si>
    <t>Coral Beach</t>
  </si>
  <si>
    <t>ChIJTVC0He2yjUgRVR5Phm_3r-A</t>
  </si>
  <si>
    <t>https://www.google.com/maps/place/?q=place_id:ChIJTVC0He2yjUgRVR5Phm_3r-A</t>
  </si>
  <si>
    <t>Spiaggia bianca formata da alghe coralline fossili, vicino a Dunvegan sull'Isola di Skye.</t>
  </si>
  <si>
    <t>4188832a-9c7c-467d-bcd1-500cac8d1f9b</t>
  </si>
  <si>
    <t>Quiraing</t>
  </si>
  <si>
    <t>ChIJ22ustw3PjUgRh-UmIClXt4E</t>
  </si>
  <si>
    <t>https://www.google.com/maps/place/?q=place_id:ChIJ22ustw3PjUgRh-UmIClXt4E</t>
  </si>
  <si>
    <t>Paesaggio roccioso surreale nel nord di Skye, percorso escursionistico panoramico.</t>
  </si>
  <si>
    <t>16f2b9c6-a30b-4b1c-ac0d-49105ce84c96</t>
  </si>
  <si>
    <t>South Skye Sea Kayak</t>
  </si>
  <si>
    <t>ChIJ1S8tIXUfjEgRW5381Wm3lTw</t>
  </si>
  <si>
    <t>https://www.google.com/maps/place/?q=place_id:ChIJ1S8tIXUfjEgRW5381Wm3lTw</t>
  </si>
  <si>
    <t>08:00-20:00 (tutti i giorni)</t>
  </si>
  <si>
    <t>Escursioni guidate in kayak lungo la costa sud dell'Isola di Skye. (Nella bozza iniziale era pensato per il pomeriggio di arrivo a Skye; con solo 2 notti su Skye e difficile trovargli spazio senza sacrificare altro. Richiede comunque prenotazione anticipata.)</t>
  </si>
  <si>
    <t>+44 7592 059577</t>
  </si>
  <si>
    <t>59f3b529-3f34-4713-b52d-45851fc39ad2</t>
  </si>
  <si>
    <t>The Storr</t>
  </si>
  <si>
    <t>ChIJl4aNAUfNjUgRFRlDXomKKGk</t>
  </si>
  <si>
    <t>https://www.google.com/maps/place/?q=place_id:ChIJl4aNAUfNjUgRFRlDXomKKGk</t>
  </si>
  <si>
    <t>Stesso trekking dell'Old Man of Storr (vedi riga 'Old Man of Storr - Parcheggio'): qui lasciato come riferimento/alternativa.</t>
  </si>
  <si>
    <t>6f7f80b0-8798-4cfe-8802-3fff373dc05f</t>
  </si>
  <si>
    <t>Eilean Donan Castle</t>
  </si>
  <si>
    <t>ChIJjZMtqxmRjkgR02W__JeNI7M</t>
  </si>
  <si>
    <t>https://www.google.com/maps/place/?q=place_id:ChIJjZMtqxmRjkgR02W__JeNI7M</t>
  </si>
  <si>
    <t>09:00-17:00 (tutti i giorni)</t>
  </si>
  <si>
    <t>Uno dei castelli piu fotografati di Scozia, su un isolotto alla confluenza di tre laghi.</t>
  </si>
  <si>
    <t>+44 1599 555202</t>
  </si>
  <si>
    <t>0b69c7ed-fbd4-4399-89b4-29ebc9a687c7</t>
  </si>
  <si>
    <t>Fort William</t>
  </si>
  <si>
    <t>ChIJGwMcNyMziUgRIUhUCOM-oM0</t>
  </si>
  <si>
    <t>https://www.google.com/maps/place/?q=place_id:ChIJGwMcNyMziUgRIUhUCOM-oM0</t>
  </si>
  <si>
    <t>Cittadina ai piedi del Ben Nevis, base per Glencoe e le Highlands occidentali.</t>
  </si>
  <si>
    <t>eb7f0bf0-a106-476f-966e-416f7fc57388</t>
  </si>
  <si>
    <t>The Geographer (Fort William) - pranzo</t>
  </si>
  <si>
    <t>ChIJkfh3NqvMjkgRHmPixSmuz68</t>
  </si>
  <si>
    <t>https://www.google.com/maps/place/?q=place_id:ChIJkfh3NqvMjkgRHmPixSmuz68</t>
  </si>
  <si>
    <t>12:00-14:00 e 17:00-21:00 (sabato)</t>
  </si>
  <si>
    <t>Bistrot molto ben valutato sulla via principale di Fort William.</t>
  </si>
  <si>
    <t>+44 1397 705011</t>
  </si>
  <si>
    <t>d31fb753-27ba-4f02-ae93-8296823ae598</t>
  </si>
  <si>
    <t>Coire Gabhail (Lost Valley)</t>
  </si>
  <si>
    <t>ChIJN5IGzhIwiUgRGpdPXeg0P4s</t>
  </si>
  <si>
    <t>https://www.google.com/maps/place/?q=place_id:ChIJN5IGzhIwiUgRGpdPXeg0P4s</t>
  </si>
  <si>
    <t>Valle nascosta a Glencoe, escursione con un breve tratto di arrampicata leggera.</t>
  </si>
  <si>
    <t>6350da6e-95d5-4a4d-8e70-483723809614</t>
  </si>
  <si>
    <t>4X4 Hire Scotland Ltd (riconsegna auto)</t>
  </si>
  <si>
    <t>Riconsegna del veicolo a noleggio prima del rientro in aeroporto.</t>
  </si>
  <si>
    <t>136faef9-d72d-4a6d-af3d-6f927881ca40</t>
  </si>
  <si>
    <t>DoubleTree by Hilton Edinburgh Airport (2a notte)</t>
  </si>
  <si>
    <t>Check-out 2026-08-16</t>
  </si>
  <si>
    <t>2fae519e-b357-4089-9f17-d8f7c0c28980</t>
  </si>
  <si>
    <t>Olive &amp; Stone (DoubleTree Edinburgh Airport) - cena</t>
  </si>
  <si>
    <t>ChIJidoQ4QTFh0gR_Crunap6Oy4</t>
  </si>
  <si>
    <t>Aperto fino alle 22:00</t>
  </si>
  <si>
    <t>Ristorante dentro il DoubleTree stesso: comodo dopo il check-in tardivo. Cena oltre la finestra ideale (18:00-19:30), inevitabile per via della riconsegna auto alle 20:00-20:30.</t>
  </si>
  <si>
    <t>f565ac90-1e9b-4b94-aada-a67e1c880796</t>
  </si>
  <si>
    <t>Volo di partenza LH2525 (Edimburgo)</t>
  </si>
  <si>
    <t>da verificare</t>
  </si>
  <si>
    <t>Volo Lufthansa in partenza da Edimburgo verso il rientro.</t>
  </si>
  <si>
    <t>86527153-66ce-4294-90c9-258ac5436b3f</t>
  </si>
  <si>
    <t>Aeroporto di Edimburgo</t>
  </si>
  <si>
    <t>https://www.google.com/maps/place/?q=place_id:ChIJfQHjkw7Fh0gRm9WxkiUKUxk</t>
  </si>
  <si>
    <t>Aeroporto principale di Edimburgo.</t>
  </si>
  <si>
    <t>+44 131 357 6337</t>
  </si>
  <si>
    <t>ecdddca4-c0dd-4980-acbf-28355112d308</t>
  </si>
  <si>
    <t>Arisaig</t>
  </si>
  <si>
    <t>ChIJCQOLaBUCjEgRpW2J-RY7PwY</t>
  </si>
  <si>
    <t>https://www.google.com/maps/place/?q=place_id:ChIJCQOLaBUCjEgRpW2J-RY7PwY</t>
  </si>
  <si>
    <t>Villaggio costiero sulla strada per le Ebridi, punto di sosta suggestivo.</t>
  </si>
  <si>
    <t>e7f63434-3c5e-444b-96af-0356fdeda93d</t>
  </si>
  <si>
    <t>Cairn Hotel Edinburgh</t>
  </si>
  <si>
    <t>ChIJgd0nrIvHh0gRHeP-DdKnRgw</t>
  </si>
  <si>
    <t>https://www.google.com/maps/place/?q=place_id:ChIJgd0nrIvHh0gRHeP-DdKnRgw</t>
  </si>
  <si>
    <t>Hotel centrale a Edimburgo, vicino a Calton Hill. (Alternativa di alloggio non utilizzata: per il viaggio avete confermato il DoubleTree by Hilton Edinburgh Airport.)</t>
  </si>
  <si>
    <t>+44 131 557 0175</t>
  </si>
  <si>
    <t>fc61b043-751a-402b-885b-621cbef5e838</t>
  </si>
  <si>
    <t>Castello di Dunnottar</t>
  </si>
  <si>
    <t>ChIJBUM-uswdhEgRlZgNtFiu9Fc</t>
  </si>
  <si>
    <t>https://www.google.com/maps/place/?q=place_id:ChIJBUM-uswdhEgRlZgNtFiu9Fc</t>
  </si>
  <si>
    <t>~13 £ (stimato)</t>
  </si>
  <si>
    <t>09:00-18:00 (tutti i giorni)</t>
  </si>
  <si>
    <t>Rovine di un castello medievale su una scogliera a picco sul mare, vicino a Stonehaven. (Fuori dal percorso pianificato: si trova vicino Aberdeen, lontano dalle altre tappe.)</t>
  </si>
  <si>
    <t>+44 1569 766320</t>
  </si>
  <si>
    <t>8731b9d3-3664-4513-92f3-a9c90ef143a0</t>
  </si>
  <si>
    <t>Glenfinnan Viaduct</t>
  </si>
  <si>
    <t>ChIJtaE4NcmzjkgR5z8-41V_s_c</t>
  </si>
  <si>
    <t>https://www.google.com/maps/place/?q=place_id:ChIJtaE4NcmzjkgR5z8-41V_s_c</t>
  </si>
  <si>
    <t>Viadotto ferroviario reso famoso da Harry Potter, con passaggio del treno a vapore Jacobite.</t>
  </si>
  <si>
    <t>2c8a00ae-b5b9-4700-b565-6405308aefcc</t>
  </si>
  <si>
    <t>Traigh Beach</t>
  </si>
  <si>
    <t>ChIJZX-C6YQDjEgRSOwgLqXv2xE</t>
  </si>
  <si>
    <t>https://www.google.com/maps/place/?q=place_id:ChIJZX-C6YQDjEgRSOwgLqXv2xE</t>
  </si>
  <si>
    <t>Spiaggia di sabbia bianca vicino ad Arisaig, con vista sulle isole di Eigg e Rum.</t>
  </si>
  <si>
    <t>Campo (DB)</t>
  </si>
  <si>
    <t>Colonna nel foglio</t>
  </si>
  <si>
    <t>Tipo</t>
  </si>
  <si>
    <t>Obbligatorio</t>
  </si>
  <si>
    <t>Valori ammessi / formato</t>
  </si>
  <si>
    <t>A cosa serve nell'app</t>
  </si>
  <si>
    <t>id</t>
  </si>
  <si>
    <t>ID</t>
  </si>
  <si>
    <t>UUID</t>
  </si>
  <si>
    <t>Sì (auto)</t>
  </si>
  <si>
    <t>Generato automaticamente, non modificare/non inventare</t>
  </si>
  <si>
    <t>Chiave univoca dell'evento; usata per aggiornare la riga giusta nel database quando si reimporta il foglio.</t>
  </si>
  <si>
    <t>trip_id</t>
  </si>
  <si>
    <t>—</t>
  </si>
  <si>
    <t>Fisso per questo viaggio</t>
  </si>
  <si>
    <t>Collega l'evento al viaggio 'Scozia 2026'. Non presente nel foglio: è lo stesso per tutte le righe.</t>
  </si>
  <si>
    <t>day</t>
  </si>
  <si>
    <t>Data</t>
  </si>
  <si>
    <t>No</t>
  </si>
  <si>
    <t>AAAA-MM-GG, es. 2026-08-11 (vuoto = non ancora assegnato a un giorno)</t>
  </si>
  <si>
    <t>Determina in quale giornata (tab Viaggio/Calendario) compare la tappa e la mappa/percorso di quel giorno.</t>
  </si>
  <si>
    <t>category</t>
  </si>
  <si>
    <t>Enum</t>
  </si>
  <si>
    <t>Sì</t>
  </si>
  <si>
    <t>Sceglie icona, colore del pin sulla mappa e badge mostrato nelle liste.</t>
  </si>
  <si>
    <t>name</t>
  </si>
  <si>
    <t>Testo</t>
  </si>
  <si>
    <t>Testo libero</t>
  </si>
  <si>
    <t>Nome visualizzato ovunque nell'app (liste, mappa, dettaglio).</t>
  </si>
  <si>
    <t>status_plan</t>
  </si>
  <si>
    <t>Nel piano, Facoltativo</t>
  </si>
  <si>
    <t>'Facoltativo' = tappa opzionale che non obbliga il ricalcolo del tragitto/orari del giorno; compare comunque nell'itinerario ma non 'ancora' l'arrivo finale.</t>
  </si>
  <si>
    <t>start_time</t>
  </si>
  <si>
    <t>Ora</t>
  </si>
  <si>
    <t>HH:MM, es. 09:30 (vuoto se non prevista un'ora precisa)</t>
  </si>
  <si>
    <t>Orario di arrivo/inizio usato per ordinare la giornata e calcolare i tempi di spostamento verso/dalla tappa successiva.</t>
  </si>
  <si>
    <t>start_time_label</t>
  </si>
  <si>
    <t>Testo libero, es. 'arrivo previsto', 'da verificare'</t>
  </si>
  <si>
    <t>Mostrata al posto di un orario preciso quando start_time è vuoto (es. voli, eventi non ancora confermati).</t>
  </si>
  <si>
    <t>end_time</t>
  </si>
  <si>
    <t>HH:MM</t>
  </si>
  <si>
    <t>Orario di fine usato per calcolare quando si può ripartire verso la tappa successiva.</t>
  </si>
  <si>
    <t>end_time_label</t>
  </si>
  <si>
    <t>Etichetta testuale alternativa a end_time, se non c'è un orario preciso.</t>
  </si>
  <si>
    <t>maps_place_id</t>
  </si>
  <si>
    <t>Consigliato</t>
  </si>
  <si>
    <t>Place ID di Google Places (es. ChIJ...)</t>
  </si>
  <si>
    <t>ESSENZIALE per mappa e percorsi: senza questo campo la tappa non compare come pin e non viene calcolato il tempo di spostamento da/verso di essa.</t>
  </si>
  <si>
    <t>maps_link</t>
  </si>
  <si>
    <t>URL</t>
  </si>
  <si>
    <t>URL completo (opzionale)</t>
  </si>
  <si>
    <t>Link diretto mostrato nel dettaglio tappa (pulsante 'Apri in Google Maps'); se vuoto l'app costruisce comunque un link dal place ID.</t>
  </si>
  <si>
    <t>website</t>
  </si>
  <si>
    <t>Mostrato nel dettaglio della tappa, se presente.</t>
  </si>
  <si>
    <t>price</t>
  </si>
  <si>
    <t>Testo libero, es. '£12', 'Gratuito'</t>
  </si>
  <si>
    <t>opening_hours</t>
  </si>
  <si>
    <t>Testo libero descrittivo, es. '09:00-17:00 (tutti i giorni)'</t>
  </si>
  <si>
    <t>Mostrato nella lista/dettaglio come riga informativa sotto al nome della tappa.</t>
  </si>
  <si>
    <t>description</t>
  </si>
  <si>
    <t>Descrizione mostrata nel dettaglio della tappa.</t>
  </si>
  <si>
    <t>contact</t>
  </si>
  <si>
    <t>Telefono/email/testo libero</t>
  </si>
  <si>
    <t>weather_dependent</t>
  </si>
  <si>
    <t>Booleano</t>
  </si>
  <si>
    <t>SI / NO</t>
  </si>
  <si>
    <t>Segnala nell'app le tappe sensibili al meteo (es. spiagge, escursioni all'aperto).</t>
  </si>
  <si>
    <t>priority</t>
  </si>
  <si>
    <t>Alta, Media, Bassa (o vuoto)</t>
  </si>
  <si>
    <t>Priorità informativa della tappa, usata in eventuali evidenziazioni/filtri.</t>
  </si>
  <si>
    <t>is_skipped</t>
  </si>
  <si>
    <t>Saltato</t>
  </si>
  <si>
    <t>Gestito dall'app</t>
  </si>
  <si>
    <t>Impostato dall'utente dall'app (pulsante 'Segna come saltato'). Non modificare da qui: verrà sovrascritto dall'uso normale dell'app.</t>
  </si>
  <si>
    <t>delay_minutes</t>
  </si>
  <si>
    <t>Minuti di ritardo</t>
  </si>
  <si>
    <t>Numero</t>
  </si>
  <si>
    <t>Numero intero</t>
  </si>
  <si>
    <t>Impostato dall'utente dall'app (pulsante 'In ritardo'). Non modificare da qui.</t>
  </si>
  <si>
    <t>Le righe in grigio sono campi tecnici o gestiti automaticamente dall'app: non serve (e non conviene) modificarli da questo foglio.</t>
  </si>
  <si>
    <t>Giorno assegnato</t>
  </si>
  <si>
    <t>Place ID Maps</t>
  </si>
  <si>
    <t>Orari apertura</t>
  </si>
  <si>
    <t>Campi mancanti</t>
  </si>
  <si>
    <t>Alloggio, Volo, Pranzo, Relax, Cena, Attività, Spostamenti</t>
  </si>
  <si>
    <t>Elimina</t>
  </si>
  <si>
    <t>Eliminato</t>
  </si>
  <si>
    <t>Compila i campi in C:J. Per eliminare un evento, seleziona SI nella colonna L: sparirà da 'Luoghi (Eventi)' e comparirà in 'Trash' con tutti i dettagli. Per ripristinarlo, cancella 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</si>
</sst>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10"/>
      <color rgb="FF6B7280"/>
      <name val="Calibri"/>
    </font>
    <font>
      <b/>
      <sz val="16"/>
      <name val="Calibri"/>
    </font>
    <font>
      <i/>
      <sz val="11"/>
      <color rgb="FF6B7280"/>
      <name val="Calibri"/>
    </font>
    <font>
      <sz val="11"/>
      <name val="Calibri"/>
    </font>
    <font>
      <b/>
      <sz val="12"/>
      <name val="Calibri"/>
    </font>
    <font>
      <sz val="11"/>
      <color rgb="FF1F1F1F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4" borderId="1" xfId="0" applyFont="1" applyFill="1" applyBorder="1" applyAlignment="1"/>
    <xf numFmtId="0" fontId="0" fillId="0" borderId="0" xfId="0" applyAlignment="1"/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9" fillId="5" borderId="0" xfId="0" applyFont="1" applyFill="1" applyAlignment="1">
      <alignment wrapText="1"/>
    </xf>
  </cellXfs>
  <cellStyles count="1">
    <cellStyle name="Normal" xfId="0" builtinId="0"/>
  </cellStyles>
  <dxfs count="7"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F3C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1" x14ac:dyDescent="0.25">
      <c r="A1" s="1" t="s">
        <v>0</v>
      </c>
    </row>
    <row r="2" spans="1:1" x14ac:dyDescent="0.2">
      <c r="A2" s="2" t="s">
        <v>1</v>
      </c>
    </row>
    <row r="4" spans="1:1" x14ac:dyDescent="0.2">
      <c r="A4" s="3"/>
    </row>
    <row r="5" spans="1:1" ht="17" x14ac:dyDescent="0.2">
      <c r="A5" s="4" t="s">
        <v>2</v>
      </c>
    </row>
    <row r="6" spans="1:1" x14ac:dyDescent="0.2">
      <c r="A6" s="3"/>
    </row>
    <row r="7" spans="1:1" ht="16" x14ac:dyDescent="0.2">
      <c r="A7" s="3" t="s">
        <v>3</v>
      </c>
    </row>
    <row r="8" spans="1:1" ht="16" x14ac:dyDescent="0.2">
      <c r="A8" s="3" t="s">
        <v>4</v>
      </c>
    </row>
    <row r="9" spans="1:1" ht="32" x14ac:dyDescent="0.2">
      <c r="A9" s="3" t="s">
        <v>5</v>
      </c>
    </row>
    <row r="10" spans="1:1" x14ac:dyDescent="0.2">
      <c r="A10" s="3"/>
    </row>
    <row r="11" spans="1:1" ht="48" x14ac:dyDescent="0.2">
      <c r="A11" s="3" t="s">
        <v>6</v>
      </c>
    </row>
    <row r="12" spans="1:1" x14ac:dyDescent="0.2">
      <c r="A12" s="3"/>
    </row>
    <row r="13" spans="1:1" ht="16" x14ac:dyDescent="0.2">
      <c r="A13" s="3" t="s">
        <v>7</v>
      </c>
    </row>
    <row r="14" spans="1:1" x14ac:dyDescent="0.2">
      <c r="A14" s="3"/>
    </row>
    <row r="15" spans="1:1" ht="32" x14ac:dyDescent="0.2">
      <c r="A15" s="3" t="s">
        <v>8</v>
      </c>
    </row>
    <row r="16" spans="1:1" x14ac:dyDescent="0.2">
      <c r="A16" s="3"/>
    </row>
    <row r="17" spans="1:1" ht="32" x14ac:dyDescent="0.2">
      <c r="A17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"/>
  <sheetViews>
    <sheetView showGridLines="0" zoomScale="158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34" customWidth="1"/>
    <col min="5" max="5" width="12" customWidth="1"/>
    <col min="6" max="6" width="10" customWidth="1"/>
    <col min="7" max="7" width="20" customWidth="1"/>
    <col min="8" max="8" width="10" customWidth="1"/>
    <col min="9" max="9" width="20" customWidth="1"/>
    <col min="10" max="12" width="30" customWidth="1"/>
    <col min="13" max="13" width="14" customWidth="1"/>
    <col min="14" max="14" width="34" customWidth="1"/>
    <col min="15" max="15" width="50" customWidth="1"/>
    <col min="16" max="16" width="20" customWidth="1"/>
    <col min="17" max="17" width="14" customWidth="1"/>
    <col min="18" max="18" width="10" customWidth="1"/>
    <col min="19" max="20" width="14" customWidth="1"/>
  </cols>
  <sheetData>
    <row r="1" spans="1:20" ht="30" customHeight="1" x14ac:dyDescent="0.2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</row>
    <row r="2" spans="1:20" x14ac:dyDescent="0.2">
      <c r="A2" s="6" t="str" cm="1">
        <f t="array" ref="A2:T52">_xlfn._xlws.FILTER(Trash!AA2:AT53,Trash!AU2:AU53&lt;&gt;"SI","")</f>
        <v>902a25b8-6bda-4f7b-b757-717930c52c3a</v>
      </c>
      <c r="B2" s="17">
        <v>46244</v>
      </c>
      <c r="C2" s="7" t="str">
        <v>Trasporto</v>
      </c>
      <c r="D2" s="7" t="str">
        <v>Volo di arrivo LH964 (Edimburgo)</v>
      </c>
      <c r="E2" s="7" t="str">
        <v>Nel piano</v>
      </c>
      <c r="F2" s="18">
        <v>0.96180555555555558</v>
      </c>
      <c r="G2" s="7" t="str">
        <v>arrivo previsto</v>
      </c>
      <c r="H2" s="18">
        <v>0</v>
      </c>
      <c r="I2" s="7">
        <v>0</v>
      </c>
      <c r="J2" s="7" t="str">
        <v>ChIJfQHjkw7Fh0gRm9WxkiUKUxk</v>
      </c>
      <c r="K2" s="7">
        <v>0</v>
      </c>
      <c r="L2" s="7" t="str">
        <v/>
      </c>
      <c r="M2" s="7" t="str">
        <v/>
      </c>
      <c r="N2" s="8" t="str">
        <v/>
      </c>
      <c r="O2" s="8" t="str">
        <v>Volo Lufthansa in arrivo a Edimburgo. Orario da verificare in tempo reale in caso di ritardi (integrazione con API voli prevista nell'app, non disponibile in questo foglio).</v>
      </c>
      <c r="P2" s="7" t="str">
        <v/>
      </c>
      <c r="Q2" s="7" t="str">
        <v>NO</v>
      </c>
      <c r="R2" s="7">
        <v>0</v>
      </c>
      <c r="S2" s="6" t="str">
        <v>NO</v>
      </c>
      <c r="T2" s="6">
        <v>0</v>
      </c>
    </row>
    <row r="3" spans="1:20" x14ac:dyDescent="0.2">
      <c r="A3" s="6" t="str">
        <v>7f6176cc-e176-42a3-bf4e-e78e68456dc0</v>
      </c>
      <c r="B3" s="17">
        <v>46244</v>
      </c>
      <c r="C3" s="7" t="str">
        <v>Alloggio</v>
      </c>
      <c r="D3" s="7" t="str">
        <v>DoubleTree by Hilton Edinburgh Airport</v>
      </c>
      <c r="E3" s="7" t="str">
        <v>Nel piano</v>
      </c>
      <c r="F3" s="18">
        <v>0.97916666666666663</v>
      </c>
      <c r="G3" s="7" t="str">
        <v>check-in</v>
      </c>
      <c r="H3" s="18">
        <v>0</v>
      </c>
      <c r="I3" s="7" t="str">
        <v>Check-out 2026-08-11</v>
      </c>
      <c r="J3" s="7" t="str">
        <v>ChIJgV8j2gXFh0gR-kpGqwUreYk</v>
      </c>
      <c r="K3" s="7" t="str">
        <v>https://www.google.com/maps/place/?q=place_id:ChIJgV8j2gXFh0gR-kpGqwUreYk</v>
      </c>
      <c r="L3" s="7" t="str">
        <v/>
      </c>
      <c r="M3" s="7" t="str">
        <v/>
      </c>
      <c r="N3" s="8" t="str">
        <v/>
      </c>
      <c r="O3" s="8" t="str">
        <v>Hotel 4 stelle a pochi minuti dall'aeroporto di Edimburgo.</v>
      </c>
      <c r="P3" s="7" t="str">
        <v>+44 131 519 4400</v>
      </c>
      <c r="Q3" s="7" t="str">
        <v>NO</v>
      </c>
      <c r="R3" s="7">
        <v>0</v>
      </c>
      <c r="S3" s="6" t="str">
        <v>NO</v>
      </c>
      <c r="T3" s="6">
        <v>0</v>
      </c>
    </row>
    <row r="4" spans="1:20" x14ac:dyDescent="0.2">
      <c r="A4" s="6" t="str">
        <v>e7e06bff-7d52-467e-b237-48d23cb4dcbb</v>
      </c>
      <c r="B4" s="17">
        <v>46245</v>
      </c>
      <c r="C4" s="7" t="str">
        <v>Trasporto</v>
      </c>
      <c r="D4" s="7" t="str">
        <v>4X4 Hire Scotland Ltd</v>
      </c>
      <c r="E4" s="7" t="str">
        <v>Nel piano</v>
      </c>
      <c r="F4" s="18">
        <v>0.39583333333333331</v>
      </c>
      <c r="G4" s="7" t="str">
        <v>ritiro auto</v>
      </c>
      <c r="H4" s="18">
        <v>0</v>
      </c>
      <c r="I4" s="7">
        <v>0</v>
      </c>
      <c r="J4" s="7" t="str">
        <v>ChIJm05Y_ibFh0gRrPhn7koVhmQ</v>
      </c>
      <c r="K4" s="7" t="str">
        <v>https://www.google.com/maps/place/?q=place_id:ChIJm05Y_ibFh0gRrPhn7koVhmQ</v>
      </c>
      <c r="L4" s="7" t="str">
        <v/>
      </c>
      <c r="M4" s="7" t="str">
        <v/>
      </c>
      <c r="N4" s="8" t="str">
        <v/>
      </c>
      <c r="O4" s="8" t="str">
        <v>Noleggio di veicoli 4x4 vicino a Edimburgo, utile per strade rurali o sterrate.</v>
      </c>
      <c r="P4" s="7" t="str">
        <v>+44 131 333 5070</v>
      </c>
      <c r="Q4" s="7" t="str">
        <v>NO</v>
      </c>
      <c r="R4" s="7">
        <v>0</v>
      </c>
      <c r="S4" s="6" t="str">
        <v>NO</v>
      </c>
      <c r="T4" s="6">
        <v>0</v>
      </c>
    </row>
    <row r="5" spans="1:20" x14ac:dyDescent="0.2">
      <c r="A5" s="6" t="str">
        <v>fd5b06e6-e547-44c4-bd23-9fb853b7b3cc</v>
      </c>
      <c r="B5" s="17">
        <v>46245</v>
      </c>
      <c r="C5" s="7" t="str">
        <v>Attività</v>
      </c>
      <c r="D5" s="7" t="str">
        <v>Stirling Castle</v>
      </c>
      <c r="E5" s="7" t="str">
        <v>Nel piano</v>
      </c>
      <c r="F5" s="18">
        <v>0.44791666666666669</v>
      </c>
      <c r="G5" s="7">
        <v>0</v>
      </c>
      <c r="H5" s="18">
        <v>0.53125</v>
      </c>
      <c r="I5" s="7" t="str">
        <v>partenza</v>
      </c>
      <c r="J5" s="7" t="str">
        <v>ChIJp9U8KJJiiEgRZ_tBFfsEUHw</v>
      </c>
      <c r="K5" s="7" t="str">
        <v>https://www.google.com/maps/place/?q=place_id:ChIJp9U8KJJiiEgRZ_tBFfsEUHw</v>
      </c>
      <c r="L5" s="7" t="str">
        <v/>
      </c>
      <c r="M5" s="7" t="str">
        <v/>
      </c>
      <c r="N5" s="8" t="str">
        <v>09:30-17:00 (tutti i giorni)</v>
      </c>
      <c r="O5" s="8" t="str">
        <v>Uno dei castelli piu importanti di Scozia, legato a Robert the Bruce e Maria Stuarda.</v>
      </c>
      <c r="P5" s="7" t="str">
        <v>+44 1786 450000</v>
      </c>
      <c r="Q5" s="7" t="str">
        <v>SI</v>
      </c>
      <c r="R5" s="7">
        <v>0</v>
      </c>
      <c r="S5" s="6" t="str">
        <v>NO</v>
      </c>
      <c r="T5" s="6">
        <v>0</v>
      </c>
    </row>
    <row r="6" spans="1:20" x14ac:dyDescent="0.2">
      <c r="A6" s="6" t="str">
        <v>7613017d-bee1-4011-ad76-f33713bb0aea</v>
      </c>
      <c r="B6" s="17">
        <v>46245</v>
      </c>
      <c r="C6" s="7" t="str">
        <v>Relax</v>
      </c>
      <c r="D6" s="7" t="str">
        <v>Friend of Mine (Bridge of Allan)</v>
      </c>
      <c r="E6" s="7" t="str">
        <v>Nel piano</v>
      </c>
      <c r="F6" s="18">
        <v>0.53819444444444442</v>
      </c>
      <c r="G6" s="7">
        <v>0</v>
      </c>
      <c r="H6" s="18">
        <v>0.57986111111111116</v>
      </c>
      <c r="I6" s="7" t="str">
        <v>partenza</v>
      </c>
      <c r="J6" s="7" t="str">
        <v>ChIJtVaxyOKJiEgR57BtoXBL6WM</v>
      </c>
      <c r="K6" s="7" t="str">
        <v>https://www.google.com/maps/place/?q=place_id:ChIJtVaxyOKJiEgR57BtoXBL6WM</v>
      </c>
      <c r="L6" s="7" t="str">
        <v>friendofmine.co.uk</v>
      </c>
      <c r="M6" s="7" t="str">
        <v/>
      </c>
      <c r="N6" s="8" t="str">
        <v>09:00-22:00 (lun-gio/dom), 09:00-23:00 (ven-sab)</v>
      </c>
      <c r="O6" s="8" t="str">
        <v>Cafe-ristorante consigliato per il pranzo dopo Stirling Castle, a Bridge of Allan (pochi minuti dal castello).</v>
      </c>
      <c r="P6" s="7" t="str">
        <v>+44 1786 831386</v>
      </c>
      <c r="Q6" s="7" t="str">
        <v>NO</v>
      </c>
      <c r="R6" s="7">
        <v>0</v>
      </c>
      <c r="S6" s="6" t="str">
        <v>NO</v>
      </c>
      <c r="T6" s="6">
        <v>0</v>
      </c>
    </row>
    <row r="7" spans="1:20" x14ac:dyDescent="0.2">
      <c r="A7" s="6" t="str">
        <v>57cf6691-3c8c-414d-9059-b7ca5bf63532</v>
      </c>
      <c r="B7" s="17">
        <v>46245</v>
      </c>
      <c r="C7" s="7" t="str">
        <v>Tappa</v>
      </c>
      <c r="D7" s="7" t="str">
        <v>Aviemore</v>
      </c>
      <c r="E7" s="7" t="str">
        <v>Nel piano</v>
      </c>
      <c r="F7" s="18">
        <v>0.66319444444444442</v>
      </c>
      <c r="G7" s="7">
        <v>0</v>
      </c>
      <c r="H7" s="18">
        <v>0.67013888888888884</v>
      </c>
      <c r="I7" s="7" t="str">
        <v>partenza, sosta breve</v>
      </c>
      <c r="J7" s="7" t="str">
        <v>ChIJYdwLblnxhUgRA3Kb1RzR3TM</v>
      </c>
      <c r="K7" s="7" t="str">
        <v>https://www.google.com/maps/place/?q=place_id:ChIJYdwLblnxhUgRA3Kb1RzR3TM</v>
      </c>
      <c r="L7" s="7" t="str">
        <v/>
      </c>
      <c r="M7" s="7" t="str">
        <v/>
      </c>
      <c r="N7" s="8" t="str">
        <v/>
      </c>
      <c r="O7" s="8" t="str">
        <v>Cittadina nel cuore dei Cairngorms, base per attivita outdoor.</v>
      </c>
      <c r="P7" s="7" t="str">
        <v/>
      </c>
      <c r="Q7" s="7" t="str">
        <v>NO</v>
      </c>
      <c r="R7" s="7">
        <v>0</v>
      </c>
      <c r="S7" s="6" t="str">
        <v>NO</v>
      </c>
      <c r="T7" s="6">
        <v>0</v>
      </c>
    </row>
    <row r="8" spans="1:20" x14ac:dyDescent="0.2">
      <c r="A8" s="6" t="str">
        <v>2c70fab6-10f2-4ec2-b209-e98ab2668a5a</v>
      </c>
      <c r="B8" s="17">
        <v>46245</v>
      </c>
      <c r="C8" s="7" t="str">
        <v>Attività</v>
      </c>
      <c r="D8" s="7" t="str">
        <v>Cairngorms</v>
      </c>
      <c r="E8" s="7" t="str">
        <v>Nel piano</v>
      </c>
      <c r="F8" s="18">
        <v>0.68055555555555558</v>
      </c>
      <c r="G8" s="7">
        <v>0</v>
      </c>
      <c r="H8" s="18">
        <v>0.79166666666666663</v>
      </c>
      <c r="I8" s="7" t="str">
        <v>partenza, trekking ~2h40 + pause</v>
      </c>
      <c r="J8" s="7" t="str">
        <v>ChIJ7wf4EI_xhUgRUvZ6OjtXNZs</v>
      </c>
      <c r="K8" s="7" t="str">
        <v>https://www.google.com/maps/place/?q=place_id:ChIJ7wf4EI_xhUgRUvZ6OjtXNZs</v>
      </c>
      <c r="L8" s="7" t="str">
        <v/>
      </c>
      <c r="M8" s="7" t="str">
        <v>3 £ parcheggio (Coire Cas)</v>
      </c>
      <c r="N8" s="8" t="str">
        <v>Sempre aperto</v>
      </c>
      <c r="O8" s="8" t="str">
        <v>Trekking circolare a Coire an t-Sneachda (Cairngorms), partenza dal Coire Cas Car Park (Cairngorm Mountain), vicino ad Aviemore: ~6,5 km, dislivello moderato, viste sulla parete della corrie.</v>
      </c>
      <c r="P8" s="7" t="str">
        <v/>
      </c>
      <c r="Q8" s="7" t="str">
        <v>SI</v>
      </c>
      <c r="R8" s="7">
        <v>0</v>
      </c>
      <c r="S8" s="6" t="str">
        <v>NO</v>
      </c>
      <c r="T8" s="6">
        <v>0</v>
      </c>
    </row>
    <row r="9" spans="1:20" x14ac:dyDescent="0.2">
      <c r="A9" s="6" t="str">
        <v>4ef59ec3-5605-468b-9779-a309fe4a2de4</v>
      </c>
      <c r="B9" s="17">
        <v>46245</v>
      </c>
      <c r="C9" s="7" t="str">
        <v>Alloggio</v>
      </c>
      <c r="D9" s="7" t="str">
        <v>Hillside Luxury Apartments</v>
      </c>
      <c r="E9" s="7" t="str">
        <v>Nel piano</v>
      </c>
      <c r="F9" s="18">
        <v>0.83680555555555558</v>
      </c>
      <c r="G9" s="7" t="str">
        <v>check-in</v>
      </c>
      <c r="H9" s="18">
        <v>0</v>
      </c>
      <c r="I9" s="7">
        <v>0</v>
      </c>
      <c r="J9" s="7" t="str">
        <v>ChIJYSZpGWtxj0gRDjwCHR3pRfs</v>
      </c>
      <c r="K9" s="7" t="str">
        <v>https://www.google.com/maps/place/?q=place_id:ChIJYSZpGWtxj0gRDjwCHR3pRfs</v>
      </c>
      <c r="L9" s="7" t="str">
        <v/>
      </c>
      <c r="M9" s="7" t="str">
        <v/>
      </c>
      <c r="N9" s="8" t="str">
        <v/>
      </c>
      <c r="O9" s="8" t="str">
        <v>Appartamenti di lusso a Inverness con vista sul castello.</v>
      </c>
      <c r="P9" s="7" t="str">
        <v>+44 1463 223777</v>
      </c>
      <c r="Q9" s="7" t="str">
        <v>NO</v>
      </c>
      <c r="R9" s="7">
        <v>0</v>
      </c>
      <c r="S9" s="6" t="str">
        <v>NO</v>
      </c>
      <c r="T9" s="6">
        <v>0</v>
      </c>
    </row>
    <row r="10" spans="1:20" x14ac:dyDescent="0.2">
      <c r="A10" s="6" t="str">
        <v>800bd3a1-c691-4a28-a43d-3c3dc89c4ecf</v>
      </c>
      <c r="B10" s="17">
        <v>46245</v>
      </c>
      <c r="C10" s="7" t="str">
        <v>Relax</v>
      </c>
      <c r="D10" s="7" t="str">
        <v>The Mustard Seed Restaurant (Inverness)</v>
      </c>
      <c r="E10" s="7" t="str">
        <v>Nel piano</v>
      </c>
      <c r="F10" s="18">
        <v>0.84375</v>
      </c>
      <c r="G10" s="7">
        <v>0</v>
      </c>
      <c r="H10" s="18">
        <v>0.88541666666666663</v>
      </c>
      <c r="I10" s="7" t="str">
        <v>partenza</v>
      </c>
      <c r="J10" s="7" t="str">
        <v>ChIJxaoRsVNxj0gRNxsTTBxOr2w</v>
      </c>
      <c r="K10" s="7" t="str">
        <v>https://www.google.com/maps/place/?q=place_id:ChIJxaoRsVNxj0gRNxsTTBxOr2w</v>
      </c>
      <c r="L10" s="7" t="str">
        <v/>
      </c>
      <c r="M10" s="7" t="str">
        <v/>
      </c>
      <c r="N10" s="8" t="str">
        <v>12:00-22:00 (martedi)</v>
      </c>
      <c r="O10" s="8" t="str">
        <v>Ristorante sul fiume Ness, ottime viste. Cena tardiva rispetto alla finestra ideale (18:00-19:30): con il trekking del pomeriggio non e possibile arrivare prima.</v>
      </c>
      <c r="P10" s="7" t="str">
        <v>+44 1463 220220</v>
      </c>
      <c r="Q10" s="7" t="str">
        <v>NO</v>
      </c>
      <c r="R10" s="7">
        <v>0</v>
      </c>
      <c r="S10" s="6" t="str">
        <v>NO</v>
      </c>
      <c r="T10" s="6">
        <v>0</v>
      </c>
    </row>
    <row r="11" spans="1:20" x14ac:dyDescent="0.2">
      <c r="A11" s="6" t="str">
        <v>6c7e89f8-0ccf-4d1a-88d4-337b388ddc86</v>
      </c>
      <c r="B11" s="17">
        <v>46245</v>
      </c>
      <c r="C11" s="7" t="str">
        <v>Attività</v>
      </c>
      <c r="D11" s="7" t="str">
        <v>Blair Athol Distillery</v>
      </c>
      <c r="E11" s="7" t="str">
        <v>Facoltativo</v>
      </c>
      <c r="F11" s="18" t="str">
        <v/>
      </c>
      <c r="G11" s="7">
        <v>0</v>
      </c>
      <c r="H11" s="18">
        <v>0</v>
      </c>
      <c r="I11" s="7">
        <v>0</v>
      </c>
      <c r="J11" s="7" t="str">
        <v>ChIJOVIM5scChkgR0ULoCyffTr8</v>
      </c>
      <c r="K11" s="7" t="str">
        <v>https://www.google.com/maps/place/?q=place_id:ChIJOVIM5scChkgR0ULoCyffTr8</v>
      </c>
      <c r="L11" s="7" t="str">
        <v/>
      </c>
      <c r="M11" s="7" t="str">
        <v/>
      </c>
      <c r="N11" s="8" t="str">
        <v>10:00-19:00 (tutti i giorni)</v>
      </c>
      <c r="O11" s="8" t="str">
        <v>Una delle distillerie di whisky piu antiche di Scozia, a Pitlochry. (Facoltativa: con il trekking al Cairngorm il tempo si stringe.)</v>
      </c>
      <c r="P11" s="7" t="str">
        <v>+44 1796 482003</v>
      </c>
      <c r="Q11" s="7" t="str">
        <v>NO</v>
      </c>
      <c r="R11" s="7" t="str">
        <v>Bassa</v>
      </c>
      <c r="S11" s="6" t="str">
        <v>NO</v>
      </c>
      <c r="T11" s="6">
        <v>0</v>
      </c>
    </row>
    <row r="12" spans="1:20" x14ac:dyDescent="0.2">
      <c r="A12" s="6" t="str">
        <v>863adbc2-539f-49dc-9865-355946d58595</v>
      </c>
      <c r="B12" s="17">
        <v>46246</v>
      </c>
      <c r="C12" s="7" t="str">
        <v>Attività</v>
      </c>
      <c r="D12" s="7" t="str">
        <v>Whaligoe Steps</v>
      </c>
      <c r="E12" s="7" t="str">
        <v>Nel piano</v>
      </c>
      <c r="F12" s="18">
        <v>0.41666666666666669</v>
      </c>
      <c r="G12" s="7">
        <v>0</v>
      </c>
      <c r="H12" s="18">
        <v>0.45833333333333331</v>
      </c>
      <c r="I12" s="7" t="str">
        <v>partenza</v>
      </c>
      <c r="J12" s="7" t="str">
        <v>ChIJqTrDz-LTmkgROqELD20pqWk</v>
      </c>
      <c r="K12" s="7" t="str">
        <v>https://www.google.com/maps/place/?q=place_id:ChIJqTrDz-LTmkgROqELD20pqWk</v>
      </c>
      <c r="L12" s="7" t="str">
        <v/>
      </c>
      <c r="M12" s="7" t="str">
        <v>Gratuito (offerta libera)</v>
      </c>
      <c r="N12" s="8" t="str">
        <v>Sempre aperto</v>
      </c>
      <c r="O12" s="8" t="str">
        <v>365 gradini che scendono verso un'antica insenatura dei pescatori, ottimo punto panoramico sulla costa.</v>
      </c>
      <c r="P12" s="7" t="str">
        <v/>
      </c>
      <c r="Q12" s="7" t="str">
        <v>SI</v>
      </c>
      <c r="R12" s="7">
        <v>0</v>
      </c>
      <c r="S12" s="6" t="str">
        <v>NO</v>
      </c>
      <c r="T12" s="6">
        <v>0</v>
      </c>
    </row>
    <row r="13" spans="1:20" x14ac:dyDescent="0.2">
      <c r="A13" s="6" t="str">
        <v>a1ff5e48-b6e6-414a-b81b-9a2a3861698a</v>
      </c>
      <c r="B13" s="17">
        <v>46246</v>
      </c>
      <c r="C13" s="7" t="str">
        <v>Relax</v>
      </c>
      <c r="D13" s="7" t="str">
        <v>No.1 Bistro (Wick) - pranzo</v>
      </c>
      <c r="E13" s="7" t="str">
        <v>Nel piano</v>
      </c>
      <c r="F13" s="18">
        <v>0.5</v>
      </c>
      <c r="G13" s="7">
        <v>0</v>
      </c>
      <c r="H13" s="18">
        <v>0.54166666666666663</v>
      </c>
      <c r="I13" s="7" t="str">
        <v>partenza</v>
      </c>
      <c r="J13" s="7" t="str">
        <v>ChIJP9l9fLXXmkgR5toM25Bxmz4</v>
      </c>
      <c r="K13" s="7" t="str">
        <v>https://www.google.com/maps/place/?q=place_id:ChIJP9l9fLXXmkgR5toM25Bxmz4</v>
      </c>
      <c r="L13" s="7" t="str">
        <v/>
      </c>
      <c r="M13" s="7" t="str">
        <v/>
      </c>
      <c r="N13" s="8" t="str">
        <v>11:00-13:45 e 17:30-20:30 (mercoledi)</v>
      </c>
      <c r="O13" s="8" t="str">
        <v>Bistrot molto apprezzato nel centro di Wick, servizio pranzo entro le 13:45.</v>
      </c>
      <c r="P13" s="7" t="str">
        <v>+44 1955 602323</v>
      </c>
      <c r="Q13" s="7" t="str">
        <v>NO</v>
      </c>
      <c r="R13" s="7">
        <v>0</v>
      </c>
      <c r="S13" s="6" t="str">
        <v>NO</v>
      </c>
      <c r="T13" s="6">
        <v>0</v>
      </c>
    </row>
    <row r="14" spans="1:20" x14ac:dyDescent="0.2">
      <c r="A14" s="6" t="str">
        <v>3d40d01e-1851-4733-bcea-a14505f63754</v>
      </c>
      <c r="B14" s="17">
        <v>46246</v>
      </c>
      <c r="C14" s="7" t="str">
        <v>Attività</v>
      </c>
      <c r="D14" s="7" t="str">
        <v>Duncansby Stacks</v>
      </c>
      <c r="E14" s="7" t="str">
        <v>Nel piano</v>
      </c>
      <c r="F14" s="18">
        <v>0.5625</v>
      </c>
      <c r="G14" s="7">
        <v>0</v>
      </c>
      <c r="H14" s="18">
        <v>0.61458333333333337</v>
      </c>
      <c r="I14" s="7" t="str">
        <v>partenza, incl. faro</v>
      </c>
      <c r="J14" s="7" t="str">
        <v>ChIJE1CdVm_fmkgRFgVyZCsDn24</v>
      </c>
      <c r="K14" s="7" t="str">
        <v>https://www.google.com/maps/place/?q=place_id:ChIJE1CdVm_fmkgRFgVyZCsDn24</v>
      </c>
      <c r="L14" s="7" t="str">
        <v/>
      </c>
      <c r="M14" s="7" t="str">
        <v/>
      </c>
      <c r="N14" s="8" t="str">
        <v>Sempre aperto</v>
      </c>
      <c r="O14" s="8" t="str">
        <v>Faraglioni spettacolari vicino a John o' Groats, raggiungibili a piedi dal faro di Duncansby.</v>
      </c>
      <c r="P14" s="7" t="str">
        <v/>
      </c>
      <c r="Q14" s="7" t="str">
        <v>SI</v>
      </c>
      <c r="R14" s="7">
        <v>0</v>
      </c>
      <c r="S14" s="6" t="str">
        <v>NO</v>
      </c>
      <c r="T14" s="6">
        <v>0</v>
      </c>
    </row>
    <row r="15" spans="1:20" x14ac:dyDescent="0.2">
      <c r="A15" s="6" t="str">
        <v>ed33b34e-a541-46fb-98ea-43afe284fd49</v>
      </c>
      <c r="B15" s="17">
        <v>46246</v>
      </c>
      <c r="C15" s="7" t="str">
        <v>Attività</v>
      </c>
      <c r="D15" s="7" t="str">
        <v>John o' Groats</v>
      </c>
      <c r="E15" s="7" t="str">
        <v>Nel piano</v>
      </c>
      <c r="F15" s="18">
        <v>0.62152777777777779</v>
      </c>
      <c r="G15" s="7">
        <v>0</v>
      </c>
      <c r="H15" s="18">
        <v>0.65277777777777779</v>
      </c>
      <c r="I15" s="7" t="str">
        <v>partenza</v>
      </c>
      <c r="J15" s="7" t="str">
        <v>ChIJw1K-uCLfmkgRdMW19Tfb-IY</v>
      </c>
      <c r="K15" s="7" t="str">
        <v>https://www.google.com/maps/place/?q=place_id:ChIJw1K-uCLfmkgRdMW19Tfb-IY</v>
      </c>
      <c r="L15" s="7" t="str">
        <v/>
      </c>
      <c r="M15" s="7" t="str">
        <v/>
      </c>
      <c r="N15" s="8" t="str">
        <v/>
      </c>
      <c r="O15" s="8" t="str">
        <v>Punto piu a nord-est della Scozia continentale, tappa fotografica simbolica.</v>
      </c>
      <c r="P15" s="7" t="str">
        <v/>
      </c>
      <c r="Q15" s="7" t="str">
        <v>SI</v>
      </c>
      <c r="R15" s="7">
        <v>0</v>
      </c>
      <c r="S15" s="6" t="str">
        <v>NO</v>
      </c>
      <c r="T15" s="6">
        <v>0</v>
      </c>
    </row>
    <row r="16" spans="1:20" x14ac:dyDescent="0.2">
      <c r="A16" s="6" t="str">
        <v>0ee96b2a-c168-4cd4-9cf6-df38a017e074</v>
      </c>
      <c r="B16" s="17">
        <v>46246</v>
      </c>
      <c r="C16" s="7" t="str">
        <v>Relax</v>
      </c>
      <c r="D16" s="7" t="str">
        <v>No.1 Bistro (Wick) - cena</v>
      </c>
      <c r="E16" s="7" t="str">
        <v>Nel piano</v>
      </c>
      <c r="F16" s="18">
        <v>0.77083333333333337</v>
      </c>
      <c r="G16" s="7">
        <v>0</v>
      </c>
      <c r="H16" s="18">
        <v>0.8125</v>
      </c>
      <c r="I16" s="7" t="str">
        <v>partenza</v>
      </c>
      <c r="J16" s="7" t="str">
        <v>ChIJP9l9fLXXmkgR5toM25Bxmz4</v>
      </c>
      <c r="K16" s="7" t="str">
        <v>https://www.google.com/maps/place/?q=place_id:ChIJP9l9fLXXmkgR5toM25Bxmz4</v>
      </c>
      <c r="L16" s="7" t="str">
        <v/>
      </c>
      <c r="M16" s="7" t="str">
        <v/>
      </c>
      <c r="N16" s="8" t="str">
        <v>11:00-13:45 e 17:30-20:30 (mercoledi)</v>
      </c>
      <c r="O16" s="8" t="str">
        <v>Stesso locale del pranzo, turno cena entro le 20:30. Dopo cena, ~20 min di guida fino a Beyond North Cabins.</v>
      </c>
      <c r="P16" s="7" t="str">
        <v>+44 1955 602323</v>
      </c>
      <c r="Q16" s="7" t="str">
        <v>NO</v>
      </c>
      <c r="R16" s="7">
        <v>0</v>
      </c>
      <c r="S16" s="6" t="str">
        <v>NO</v>
      </c>
      <c r="T16" s="6">
        <v>0</v>
      </c>
    </row>
    <row r="17" spans="1:20" x14ac:dyDescent="0.2">
      <c r="A17" s="6" t="str">
        <v>03805648-cfa7-4a7b-b880-d116aac5fa8f</v>
      </c>
      <c r="B17" s="17">
        <v>46246</v>
      </c>
      <c r="C17" s="7" t="str">
        <v>Alloggio</v>
      </c>
      <c r="D17" s="7" t="str">
        <v>Beyond North Cabins</v>
      </c>
      <c r="E17" s="7" t="str">
        <v>Nel piano</v>
      </c>
      <c r="F17" s="18">
        <v>0.83333333333333337</v>
      </c>
      <c r="G17" s="7" t="str">
        <v>check-in</v>
      </c>
      <c r="H17" s="18">
        <v>0</v>
      </c>
      <c r="I17" s="7">
        <v>0</v>
      </c>
      <c r="J17" s="7" t="str">
        <v>ChIJXX_SasbdmkgRXLlpJV89vh0</v>
      </c>
      <c r="K17" s="7" t="str">
        <v>https://www.google.com/maps/place/?q=place_id:ChIJXX_SasbdmkgRXLlpJV89vh0</v>
      </c>
      <c r="L17" s="7" t="str">
        <v/>
      </c>
      <c r="M17" s="7" t="str">
        <v/>
      </c>
      <c r="N17" s="8" t="str">
        <v/>
      </c>
      <c r="O17" s="8" t="str">
        <v>Cabin di lusso vicino a John o' Groats, nell'estremo nord della Scozia.</v>
      </c>
      <c r="P17" s="7" t="str">
        <v>+44 7921 338511</v>
      </c>
      <c r="Q17" s="7" t="str">
        <v>NO</v>
      </c>
      <c r="R17" s="7">
        <v>0</v>
      </c>
      <c r="S17" s="6" t="str">
        <v>NO</v>
      </c>
      <c r="T17" s="6">
        <v>0</v>
      </c>
    </row>
    <row r="18" spans="1:20" x14ac:dyDescent="0.2">
      <c r="A18" s="6" t="str">
        <v>afc84429-03d5-46ff-bca4-92460a640f4a</v>
      </c>
      <c r="B18" s="17">
        <v>46247</v>
      </c>
      <c r="C18" s="7" t="str">
        <v>Attività</v>
      </c>
      <c r="D18" s="7" t="str">
        <v>Burn of Midsand Nature Reserve</v>
      </c>
      <c r="E18" s="7" t="str">
        <v>Nel piano</v>
      </c>
      <c r="F18" s="18">
        <v>0.34375</v>
      </c>
      <c r="G18" s="7">
        <v>0</v>
      </c>
      <c r="H18" s="18">
        <v>0.3576388888888889</v>
      </c>
      <c r="I18" s="7" t="str">
        <v>partenza</v>
      </c>
      <c r="J18" s="7" t="str">
        <v>ChIJ1yj1JJDFmkgRHZg48CEhWD4</v>
      </c>
      <c r="K18" s="7" t="str">
        <v>https://www.google.com/maps/place/?q=place_id:ChIJ1yj1JJDFmkgRHZg48CEhWD4</v>
      </c>
      <c r="L18" s="7" t="str">
        <v/>
      </c>
      <c r="M18" s="7" t="str">
        <v/>
      </c>
      <c r="N18" s="8" t="str">
        <v/>
      </c>
      <c r="O18" s="8" t="str">
        <v>Riserva naturale costiera con dune, ottima per birdwatching.</v>
      </c>
      <c r="P18" s="7" t="str">
        <v/>
      </c>
      <c r="Q18" s="7" t="str">
        <v>SI</v>
      </c>
      <c r="R18" s="7">
        <v>0</v>
      </c>
      <c r="S18" s="6" t="str">
        <v>NO</v>
      </c>
      <c r="T18" s="6">
        <v>0</v>
      </c>
    </row>
    <row r="19" spans="1:20" x14ac:dyDescent="0.2">
      <c r="A19" s="6" t="str">
        <v>7db4e386-3ab2-4db3-8e30-7605ff0ecec6</v>
      </c>
      <c r="B19" s="17">
        <v>46247</v>
      </c>
      <c r="C19" s="7" t="str">
        <v>Attività</v>
      </c>
      <c r="D19" s="7" t="str">
        <v>Peedie Sands</v>
      </c>
      <c r="E19" s="7" t="str">
        <v>Nel piano</v>
      </c>
      <c r="F19" s="18">
        <v>0.36458333333333331</v>
      </c>
      <c r="G19" s="7">
        <v>0</v>
      </c>
      <c r="H19" s="18">
        <v>0.3923611111111111</v>
      </c>
      <c r="I19" s="7" t="str">
        <v>partenza</v>
      </c>
      <c r="J19" s="7" t="str">
        <v>ChIJwalQylDDmkgR40kXTOmR1oE</v>
      </c>
      <c r="K19" s="7" t="str">
        <v>https://www.google.com/maps/place/?q=place_id:ChIJwalQylDDmkgR40kXTOmR1oE</v>
      </c>
      <c r="L19" s="7" t="str">
        <v/>
      </c>
      <c r="M19" s="7" t="str">
        <v/>
      </c>
      <c r="N19" s="8" t="str">
        <v>Sempre aperto</v>
      </c>
      <c r="O19" s="8" t="str">
        <v>Piccola spiaggia nascosta vicino a Thurso, raggiungibile con una breve camminata.</v>
      </c>
      <c r="P19" s="7" t="str">
        <v/>
      </c>
      <c r="Q19" s="7" t="str">
        <v>SI</v>
      </c>
      <c r="R19" s="7">
        <v>0</v>
      </c>
      <c r="S19" s="6" t="str">
        <v>NO</v>
      </c>
      <c r="T19" s="6">
        <v>0</v>
      </c>
    </row>
    <row r="20" spans="1:20" x14ac:dyDescent="0.2">
      <c r="A20" s="6" t="str">
        <v>f7c31396-bfd3-4d4c-9927-24199170cd62</v>
      </c>
      <c r="B20" s="17">
        <v>46247</v>
      </c>
      <c r="C20" s="7" t="str">
        <v>Attività</v>
      </c>
      <c r="D20" s="7" t="str">
        <v>Stannergill Whisky Distillery at Castletown Mill</v>
      </c>
      <c r="E20" s="7" t="str">
        <v>Nel piano</v>
      </c>
      <c r="F20" s="18">
        <v>0.40625</v>
      </c>
      <c r="G20" s="7">
        <v>0</v>
      </c>
      <c r="H20" s="18">
        <v>0.42708333333333331</v>
      </c>
      <c r="I20" s="7" t="str">
        <v>partenza</v>
      </c>
      <c r="J20" s="7" t="str">
        <v>ChIJvTCqhHXFmkgRdnCmdWAyL_4</v>
      </c>
      <c r="K20" s="7" t="str">
        <v>https://www.google.com/maps/place/?q=place_id:ChIJvTCqhHXFmkgRdnCmdWAyL_4</v>
      </c>
      <c r="L20" s="7" t="str">
        <v/>
      </c>
      <c r="M20" s="7" t="str">
        <v/>
      </c>
      <c r="N20" s="8" t="str">
        <v>10:00-17:00 (tutti i giorni)</v>
      </c>
      <c r="O20" s="8" t="str">
        <v>Mulino storico restaurato con piccola distilleria e ristorante, vicino a Thurso. Apre alle 10:00: arrivo consigliato non prima.</v>
      </c>
      <c r="P20" s="7" t="str">
        <v>+44 1847 698063</v>
      </c>
      <c r="Q20" s="7" t="str">
        <v>NO</v>
      </c>
      <c r="R20" s="7">
        <v>0</v>
      </c>
      <c r="S20" s="6" t="str">
        <v>NO</v>
      </c>
      <c r="T20" s="6">
        <v>0</v>
      </c>
    </row>
    <row r="21" spans="1:20" x14ac:dyDescent="0.2">
      <c r="A21" s="6" t="str">
        <v>804a280d-1910-491f-8e97-2f5d0857d2dc</v>
      </c>
      <c r="B21" s="17">
        <v>46247</v>
      </c>
      <c r="C21" s="7" t="str">
        <v>Relax</v>
      </c>
      <c r="D21" s="7" t="str">
        <v>Red Pepper (Thurso) - pranzo</v>
      </c>
      <c r="E21" s="7" t="str">
        <v>Nel piano</v>
      </c>
      <c r="F21" s="18">
        <v>0.5</v>
      </c>
      <c r="G21" s="7">
        <v>0</v>
      </c>
      <c r="H21" s="18">
        <v>0.54166666666666663</v>
      </c>
      <c r="I21" s="7" t="str">
        <v>partenza</v>
      </c>
      <c r="J21" s="7" t="str">
        <v>ChIJxXzH-Ku4mkgRtac1qTh5TPQ</v>
      </c>
      <c r="K21" s="7" t="str">
        <v>https://www.google.com/maps/place/?q=place_id:ChIJxXzH-Ku4mkgRtac1qTh5TPQ</v>
      </c>
      <c r="L21" s="7" t="str">
        <v/>
      </c>
      <c r="M21" s="7" t="str">
        <v/>
      </c>
      <c r="N21" s="8" t="str">
        <v>12:00-14:00 e 17:00-20:30 (mercoledi)</v>
      </c>
      <c r="O21" s="8" t="str">
        <v>Ristorante nel centro di Thurso, dentro l'Holborn Hotel. Buoni voti, anche opzioni senza glutine.</v>
      </c>
      <c r="P21" s="7" t="str">
        <v>+44 1847 892771</v>
      </c>
      <c r="Q21" s="7" t="str">
        <v>NO</v>
      </c>
      <c r="R21" s="7">
        <v>0</v>
      </c>
      <c r="S21" s="6" t="str">
        <v>NO</v>
      </c>
      <c r="T21" s="6">
        <v>0</v>
      </c>
    </row>
    <row r="22" spans="1:20" x14ac:dyDescent="0.2">
      <c r="A22" s="6" t="str">
        <v>ea91661e-4333-45b6-a0fe-b60ca2642c6a</v>
      </c>
      <c r="B22" s="17">
        <v>46247</v>
      </c>
      <c r="C22" s="7" t="str">
        <v>Attività</v>
      </c>
      <c r="D22" s="7" t="str">
        <v>Melvich Beach</v>
      </c>
      <c r="E22" s="7" t="str">
        <v>Nel piano</v>
      </c>
      <c r="F22" s="18">
        <v>0.57291666666666663</v>
      </c>
      <c r="G22" s="7">
        <v>0</v>
      </c>
      <c r="H22" s="18">
        <v>0.59375</v>
      </c>
      <c r="I22" s="7" t="str">
        <v>partenza</v>
      </c>
      <c r="J22" s="7" t="str">
        <v>ChIJNyzcb5mmmkgRMfmr3iqK0z0</v>
      </c>
      <c r="K22" s="7" t="str">
        <v>https://www.google.com/maps/place/?q=place_id:ChIJNyzcb5mmmkgRMfmr3iqK0z0</v>
      </c>
      <c r="L22" s="7" t="str">
        <v/>
      </c>
      <c r="M22" s="7" t="str">
        <v/>
      </c>
      <c r="N22" s="8" t="str">
        <v>Sempre aperto</v>
      </c>
      <c r="O22" s="8" t="str">
        <v>Ampia spiaggia di sabbia dorata nel nord della Scozia, tranquilla e panoramica.</v>
      </c>
      <c r="P22" s="7" t="str">
        <v/>
      </c>
      <c r="Q22" s="7" t="str">
        <v>SI</v>
      </c>
      <c r="R22" s="7">
        <v>0</v>
      </c>
      <c r="S22" s="6" t="str">
        <v>NO</v>
      </c>
      <c r="T22" s="6">
        <v>0</v>
      </c>
    </row>
    <row r="23" spans="1:20" x14ac:dyDescent="0.2">
      <c r="A23" s="6" t="str">
        <v>96273d44-a329-45f4-a9bd-7c6f4e6d9427</v>
      </c>
      <c r="B23" s="17">
        <v>46247</v>
      </c>
      <c r="C23" s="7" t="str">
        <v>Attività</v>
      </c>
      <c r="D23" s="7" t="str">
        <v>Allt Chranaidh Waterfall</v>
      </c>
      <c r="E23" s="7" t="str">
        <v>Nel piano</v>
      </c>
      <c r="F23" s="18">
        <v>0.67708333333333337</v>
      </c>
      <c r="G23" s="7">
        <v>0</v>
      </c>
      <c r="H23" s="18">
        <v>0.70833333333333337</v>
      </c>
      <c r="I23" s="7" t="str">
        <v>partenza</v>
      </c>
      <c r="J23" s="7" t="str">
        <v>ChIJ4ZDPCfHVj0gRMdAk-G55TXE</v>
      </c>
      <c r="K23" s="7" t="str">
        <v>https://www.google.com/maps/place/?q=place_id:ChIJ4ZDPCfHVj0gRMdAk-G55TXE</v>
      </c>
      <c r="L23" s="7" t="str">
        <v/>
      </c>
      <c r="M23" s="7" t="str">
        <v/>
      </c>
      <c r="N23" s="8" t="str">
        <v>Sempre aperto</v>
      </c>
      <c r="O23" s="8" t="str">
        <v>Cascata raggiungibile con una breve camminata su sentiero sterrato, talvolta fangoso.</v>
      </c>
      <c r="P23" s="7" t="str">
        <v/>
      </c>
      <c r="Q23" s="7" t="str">
        <v>SI</v>
      </c>
      <c r="R23" s="7">
        <v>0</v>
      </c>
      <c r="S23" s="6" t="str">
        <v>NO</v>
      </c>
      <c r="T23" s="6">
        <v>0</v>
      </c>
    </row>
    <row r="24" spans="1:20" x14ac:dyDescent="0.2">
      <c r="A24" s="6" t="str">
        <v>f94a1f5f-1a84-41cf-9edb-4e2d22b1698c</v>
      </c>
      <c r="B24" s="17">
        <v>46247</v>
      </c>
      <c r="C24" s="7" t="str">
        <v>Tappa</v>
      </c>
      <c r="D24" s="7" t="str">
        <v>Ullapool</v>
      </c>
      <c r="E24" s="7" t="str">
        <v>Nel piano</v>
      </c>
      <c r="F24" s="18">
        <v>0.74652777777777779</v>
      </c>
      <c r="G24" s="7">
        <v>0</v>
      </c>
      <c r="H24" s="18">
        <v>0.79166666666666663</v>
      </c>
      <c r="I24" s="7" t="str">
        <v>partenza</v>
      </c>
      <c r="J24" s="7" t="str">
        <v>ChIJYbOnt_swjkgRDcjJAXOTxFk</v>
      </c>
      <c r="K24" s="7" t="str">
        <v>https://www.google.com/maps/place/?q=place_id:ChIJYbOnt_swjkgRDcjJAXOTxFk</v>
      </c>
      <c r="L24" s="7" t="str">
        <v/>
      </c>
      <c r="M24" s="7" t="str">
        <v/>
      </c>
      <c r="N24" s="8" t="str">
        <v/>
      </c>
      <c r="O24" s="8" t="str">
        <v>Cittadina portuale sulla costa nord-occidentale, imbarco dei traghetti per le Ebridi Esterne.</v>
      </c>
      <c r="P24" s="7" t="str">
        <v/>
      </c>
      <c r="Q24" s="7" t="str">
        <v>NO</v>
      </c>
      <c r="R24" s="7">
        <v>0</v>
      </c>
      <c r="S24" s="6" t="str">
        <v>NO</v>
      </c>
      <c r="T24" s="6">
        <v>0</v>
      </c>
    </row>
    <row r="25" spans="1:20" x14ac:dyDescent="0.2">
      <c r="A25" s="6" t="str">
        <v>9393544e-d168-43a7-933f-36d1e99c1259</v>
      </c>
      <c r="B25" s="17">
        <v>46247</v>
      </c>
      <c r="C25" s="7" t="str">
        <v>Relax</v>
      </c>
      <c r="D25" s="7" t="str">
        <v>Seafood Shack (Ullapool)</v>
      </c>
      <c r="E25" s="7" t="str">
        <v>Nel piano</v>
      </c>
      <c r="F25" s="18">
        <v>0.75</v>
      </c>
      <c r="G25" s="7">
        <v>0</v>
      </c>
      <c r="H25" s="18">
        <v>0.79166666666666663</v>
      </c>
      <c r="I25" s="7" t="str">
        <v>partenza, cena</v>
      </c>
      <c r="J25" s="7" t="str">
        <v>ChIJqfsPNCRIjkgRQf2FZxMX0RU</v>
      </c>
      <c r="K25" s="7" t="str">
        <v>https://www.google.com/maps/place/?q=place_id:ChIJqfsPNCRIjkgRQf2FZxMX0RU</v>
      </c>
      <c r="L25" s="7" t="str">
        <v/>
      </c>
      <c r="M25" s="7" t="str">
        <v>10-20 £</v>
      </c>
      <c r="N25" s="8" t="str">
        <v>12:00-20:00 (tutti i giorni)</v>
      </c>
      <c r="O25" s="8" t="str">
        <v>Chiosco di pesce molto apprezzato a Ullapool, aperto fino alle 20:00: usato qui come tappa cena, non pranzo.</v>
      </c>
      <c r="P25" s="7" t="str">
        <v/>
      </c>
      <c r="Q25" s="7" t="str">
        <v>NO</v>
      </c>
      <c r="R25" s="7">
        <v>0</v>
      </c>
      <c r="S25" s="6" t="str">
        <v>NO</v>
      </c>
      <c r="T25" s="6">
        <v>0</v>
      </c>
    </row>
    <row r="26" spans="1:20" x14ac:dyDescent="0.2">
      <c r="A26" s="6" t="str">
        <v>a30ce24a-88a2-4821-84a9-71e3a157bb6f</v>
      </c>
      <c r="B26" s="17">
        <v>46247</v>
      </c>
      <c r="C26" s="7" t="str">
        <v>Alloggio</v>
      </c>
      <c r="D26" s="7" t="str">
        <v>Tidal Reach</v>
      </c>
      <c r="E26" s="7" t="str">
        <v>Nel piano</v>
      </c>
      <c r="F26" s="18">
        <v>0.93402777777777779</v>
      </c>
      <c r="G26" s="7" t="str">
        <v>check-in</v>
      </c>
      <c r="H26" s="18">
        <v>0</v>
      </c>
      <c r="I26" s="7" t="str">
        <v>Check-out 2026-08-15</v>
      </c>
      <c r="J26" s="7" t="str">
        <v>ChIJo1hDAwCzjUgRCswRm6dW4U8</v>
      </c>
      <c r="K26" s="7" t="str">
        <v>https://www.google.com/maps/place/?q=place_id:ChIJo1hDAwCzjUgRCswRm6dW4U8</v>
      </c>
      <c r="L26" s="7" t="str">
        <v/>
      </c>
      <c r="M26" s="7" t="str">
        <v/>
      </c>
      <c r="N26" s="8" t="str">
        <v/>
      </c>
      <c r="O26" s="8" t="str">
        <v>Alloggio con uso cucina sull'Isola di Skye. ATTENZIONE: con le pause di guida incluse il check-in arriva a tarda sera; verificare con la struttura la possibilita di arrivo autonomo/self check-in.</v>
      </c>
      <c r="P26" s="7" t="str">
        <v/>
      </c>
      <c r="Q26" s="7" t="str">
        <v>NO</v>
      </c>
      <c r="R26" s="7">
        <v>0</v>
      </c>
      <c r="S26" s="6" t="str">
        <v>NO</v>
      </c>
      <c r="T26" s="6">
        <v>0</v>
      </c>
    </row>
    <row r="27" spans="1:20" x14ac:dyDescent="0.2">
      <c r="A27" s="6" t="str">
        <v>c4dd8093-bbd3-4c62-b03e-2edef1143bfc</v>
      </c>
      <c r="B27" s="17">
        <v>46247</v>
      </c>
      <c r="C27" s="7" t="str">
        <v>Attività</v>
      </c>
      <c r="D27" s="7" t="str">
        <v>Bealach na Ba</v>
      </c>
      <c r="E27" s="7" t="str">
        <v>Facoltativo</v>
      </c>
      <c r="F27" s="18" t="str">
        <v/>
      </c>
      <c r="G27" s="7">
        <v>0</v>
      </c>
      <c r="H27" s="18">
        <v>0</v>
      </c>
      <c r="I27" s="7">
        <v>0</v>
      </c>
      <c r="J27" s="7" t="str">
        <v>ChIJGVMFmBiEjkgRQyUcmylOvDU</v>
      </c>
      <c r="K27" s="7" t="str">
        <v>https://www.google.com/maps/place/?q=place_id:ChIJGVMFmBiEjkgRQyUcmylOvDU</v>
      </c>
      <c r="L27" s="7" t="str">
        <v/>
      </c>
      <c r="M27" s="7" t="str">
        <v/>
      </c>
      <c r="N27" s="8" t="str">
        <v/>
      </c>
      <c r="O27" s="8" t="str">
        <v>Strada di montagna panoramica con tornanti, una delle salite piu spettacolari della Scozia.</v>
      </c>
      <c r="P27" s="7" t="str">
        <v/>
      </c>
      <c r="Q27" s="7" t="str">
        <v>SI</v>
      </c>
      <c r="R27" s="7" t="str">
        <v>Bassa</v>
      </c>
      <c r="S27" s="6" t="str">
        <v>NO</v>
      </c>
      <c r="T27" s="6">
        <v>0</v>
      </c>
    </row>
    <row r="28" spans="1:20" x14ac:dyDescent="0.2">
      <c r="A28" s="6" t="str">
        <v>6fd9eb47-5c76-4669-b68a-ebcd3ec98a99</v>
      </c>
      <c r="B28" s="17">
        <v>46248</v>
      </c>
      <c r="C28" s="7" t="str">
        <v>Attività</v>
      </c>
      <c r="D28" s="7" t="str">
        <v>Old Man of Storr - Parcheggio</v>
      </c>
      <c r="E28" s="7" t="str">
        <v>Nel piano</v>
      </c>
      <c r="F28" s="18">
        <v>0.37847222222222221</v>
      </c>
      <c r="G28" s="7">
        <v>0</v>
      </c>
      <c r="H28" s="18">
        <v>0.46527777777777779</v>
      </c>
      <c r="I28" s="7" t="str">
        <v>fine trekking, ~2h</v>
      </c>
      <c r="J28" s="7" t="str">
        <v>ChIJsafGmVnNjUgR655wsjZ5LX8</v>
      </c>
      <c r="K28" s="7" t="str">
        <v>https://www.google.com/maps/place/?q=place_id:ChIJsafGmVnNjUgR655wsjZ5LX8</v>
      </c>
      <c r="L28" s="7" t="str">
        <v/>
      </c>
      <c r="M28" s="7" t="str">
        <v>~8 £ / 6h</v>
      </c>
      <c r="N28" s="8" t="str">
        <v>Sempre aperto</v>
      </c>
      <c r="O28" s="8" t="str">
        <v>Trekking all'Old Man of Storr: ~3,8 km a/r, sentiero ripido nella parte finale, molto panoramico. Partenza dal parcheggio.</v>
      </c>
      <c r="P28" s="7" t="str">
        <v/>
      </c>
      <c r="Q28" s="7" t="str">
        <v>SI</v>
      </c>
      <c r="R28" s="7" t="str">
        <v>Bassa</v>
      </c>
      <c r="S28" s="6" t="str">
        <v>NO</v>
      </c>
      <c r="T28" s="6">
        <v>0</v>
      </c>
    </row>
    <row r="29" spans="1:20" x14ac:dyDescent="0.2">
      <c r="A29" s="6" t="str">
        <v>668f0a0b-7fac-428b-8191-ef935620d85d</v>
      </c>
      <c r="B29" s="17">
        <v>46248</v>
      </c>
      <c r="C29" s="7" t="str">
        <v>Tappa</v>
      </c>
      <c r="D29" s="7" t="str">
        <v>Portree</v>
      </c>
      <c r="E29" s="7" t="str">
        <v>Nel piano</v>
      </c>
      <c r="F29" s="18">
        <v>0.47569444444444442</v>
      </c>
      <c r="G29" s="7">
        <v>0</v>
      </c>
      <c r="H29" s="18">
        <v>0.55208333333333337</v>
      </c>
      <c r="I29" s="7" t="str">
        <v>partenza</v>
      </c>
      <c r="J29" s="7" t="str">
        <v>ChIJHQfTm-EvjEgRFWk4InoLHRA</v>
      </c>
      <c r="K29" s="7" t="str">
        <v>https://www.google.com/maps/place/?q=place_id:ChIJHQfTm-EvjEgRFWk4InoLHRA</v>
      </c>
      <c r="L29" s="7" t="str">
        <v/>
      </c>
      <c r="M29" s="7" t="str">
        <v/>
      </c>
      <c r="N29" s="8" t="str">
        <v/>
      </c>
      <c r="O29" s="8" t="str">
        <v>Capoluogo dell'Isola di Skye, porto colorato e base per esplorare l'isola.</v>
      </c>
      <c r="P29" s="7" t="str">
        <v/>
      </c>
      <c r="Q29" s="7" t="str">
        <v>NO</v>
      </c>
      <c r="R29" s="7" t="str">
        <v>Media</v>
      </c>
      <c r="S29" s="6" t="str">
        <v>NO</v>
      </c>
      <c r="T29" s="6">
        <v>0</v>
      </c>
    </row>
    <row r="30" spans="1:20" x14ac:dyDescent="0.2">
      <c r="A30" s="6" t="str">
        <v>7d41718c-a817-425c-8a78-ef8f2b088661</v>
      </c>
      <c r="B30" s="17">
        <v>46248</v>
      </c>
      <c r="C30" s="7" t="str">
        <v>Relax</v>
      </c>
      <c r="D30" s="7" t="str">
        <v>Sea Breezes (Portree) - pranzo</v>
      </c>
      <c r="E30" s="7" t="str">
        <v>Nel piano</v>
      </c>
      <c r="F30" s="18">
        <v>0.52083333333333337</v>
      </c>
      <c r="G30" s="7">
        <v>0</v>
      </c>
      <c r="H30" s="18">
        <v>0.55208333333333337</v>
      </c>
      <c r="I30" s="7" t="str">
        <v>partenza</v>
      </c>
      <c r="J30" s="7" t="str">
        <v>ChIJw0BBvC0yjEgRNVtV9vap2a0</v>
      </c>
      <c r="K30" s="7" t="str">
        <v>https://www.google.com/maps/place/?q=place_id:ChIJw0BBvC0yjEgRNVtV9vap2a0</v>
      </c>
      <c r="L30" s="7" t="str">
        <v/>
      </c>
      <c r="M30" s="7" t="str">
        <v/>
      </c>
      <c r="N30" s="8" t="str">
        <v>12:00-14:00 e 17:30-21:00 (venerdi)</v>
      </c>
      <c r="O30" s="8" t="str">
        <v>Ristorante di pesce molto popolare sul porto di Portree; consigliato arrivare presto, si formano code.</v>
      </c>
      <c r="P30" s="7" t="str">
        <v>+44 1478 612016</v>
      </c>
      <c r="Q30" s="7" t="str">
        <v>NO</v>
      </c>
      <c r="R30" s="7">
        <v>0</v>
      </c>
      <c r="S30" s="6" t="str">
        <v>NO</v>
      </c>
      <c r="T30" s="6">
        <v>0</v>
      </c>
    </row>
    <row r="31" spans="1:20" x14ac:dyDescent="0.2">
      <c r="A31" s="6" t="str">
        <v>e3c65488-902d-4e60-a986-b40816371ce9</v>
      </c>
      <c r="B31" s="17">
        <v>46248</v>
      </c>
      <c r="C31" s="7" t="str">
        <v>Attività</v>
      </c>
      <c r="D31" s="7" t="str">
        <v>Fairy Pools</v>
      </c>
      <c r="E31" s="7" t="str">
        <v>Nel piano</v>
      </c>
      <c r="F31" s="18">
        <v>0.58680555555555558</v>
      </c>
      <c r="G31" s="7">
        <v>0</v>
      </c>
      <c r="H31" s="18">
        <v>0.64930555555555558</v>
      </c>
      <c r="I31" s="7" t="str">
        <v>partenza</v>
      </c>
      <c r="J31" s="7" t="str">
        <v>ChIJEd0VoW05jEgRffGsm5G5y34</v>
      </c>
      <c r="K31" s="7" t="str">
        <v>https://www.google.com/maps/place/?q=place_id:ChIJEd0VoW05jEgRffGsm5G5y34</v>
      </c>
      <c r="L31" s="7" t="str">
        <v/>
      </c>
      <c r="M31" s="7" t="str">
        <v>~8 £ parcheggio</v>
      </c>
      <c r="N31" s="8" t="str">
        <v/>
      </c>
      <c r="O31" s="8" t="str">
        <v>Pozze naturali di acqua cristallina raggiungibili con una camminata panoramica sull'Isola di Skye.</v>
      </c>
      <c r="P31" s="7" t="str">
        <v/>
      </c>
      <c r="Q31" s="7" t="str">
        <v>SI</v>
      </c>
      <c r="R31" s="7">
        <v>0</v>
      </c>
      <c r="S31" s="6" t="str">
        <v>NO</v>
      </c>
      <c r="T31" s="6">
        <v>0</v>
      </c>
    </row>
    <row r="32" spans="1:20" x14ac:dyDescent="0.2">
      <c r="A32" s="6" t="str">
        <v>ddc42bc9-c0d7-4e68-8bb7-44b6db5519cd</v>
      </c>
      <c r="B32" s="17">
        <v>46248</v>
      </c>
      <c r="C32" s="7" t="str">
        <v>Attività</v>
      </c>
      <c r="D32" s="7" t="str">
        <v>Talisker Distillery</v>
      </c>
      <c r="E32" s="7" t="str">
        <v>Nel piano</v>
      </c>
      <c r="F32" s="18">
        <v>0.66666666666666663</v>
      </c>
      <c r="G32" s="7">
        <v>0</v>
      </c>
      <c r="H32" s="18">
        <v>0.70833333333333337</v>
      </c>
      <c r="I32" s="7" t="str">
        <v>partenza</v>
      </c>
      <c r="J32" s="7" t="str">
        <v>ChIJE9KVQQI4jEgRiTTmjkiThc0</v>
      </c>
      <c r="K32" s="7" t="str">
        <v>https://www.google.com/maps/place/?q=place_id:ChIJE9KVQQI4jEgRiTTmjkiThc0</v>
      </c>
      <c r="L32" s="7" t="str">
        <v/>
      </c>
      <c r="M32" s="7" t="str">
        <v/>
      </c>
      <c r="N32" s="8" t="str">
        <v>10:00-17:00 (tutti i giorni)</v>
      </c>
      <c r="O32" s="8" t="str">
        <v>Storica distilleria di whisky sull'Isola di Skye, affacciata sul mare.</v>
      </c>
      <c r="P32" s="7" t="str">
        <v>+44 1478 614308</v>
      </c>
      <c r="Q32" s="7" t="str">
        <v>NO</v>
      </c>
      <c r="R32" s="7" t="str">
        <v>Media</v>
      </c>
      <c r="S32" s="6" t="str">
        <v>NO</v>
      </c>
      <c r="T32" s="6">
        <v>0</v>
      </c>
    </row>
    <row r="33" spans="1:20" x14ac:dyDescent="0.2">
      <c r="A33" s="6" t="str">
        <v>f7a8d379-b8a0-475e-a9a5-c0ecb53547d3</v>
      </c>
      <c r="B33" s="17">
        <v>46248</v>
      </c>
      <c r="C33" s="7" t="str">
        <v>Relax</v>
      </c>
      <c r="D33" s="7" t="str">
        <v>The Bistro at Atholl House (Dunvegan) - cena</v>
      </c>
      <c r="E33" s="7" t="str">
        <v>Nel piano</v>
      </c>
      <c r="F33" s="18">
        <v>0.75</v>
      </c>
      <c r="G33" s="7">
        <v>0</v>
      </c>
      <c r="H33" s="18">
        <v>0.80555555555555558</v>
      </c>
      <c r="I33" s="7" t="str">
        <v>partenza</v>
      </c>
      <c r="J33" s="7" t="str">
        <v>ChIJL1MQW91NjEgRyrzKxb3IWm8</v>
      </c>
      <c r="K33" s="7" t="str">
        <v>https://www.google.com/maps/place/?q=place_id:ChIJL1MQW91NjEgRyrzKxb3IWm8</v>
      </c>
      <c r="L33" s="7" t="str">
        <v/>
      </c>
      <c r="M33" s="7" t="str">
        <v/>
      </c>
      <c r="N33" s="8" t="str">
        <v>17:00-19:30 (venerdi, ultimo ordine)</v>
      </c>
      <c r="O33" s="8" t="str">
        <v>Piccolo bistrot vicino a Tidal Reach, cucina locale. Chiude alle 19:30: prenotare in anticipo. Dopo cena, ~20 min fino a Neist Point per il tramonto.</v>
      </c>
      <c r="P33" s="7" t="str">
        <v>+44 1470 521810</v>
      </c>
      <c r="Q33" s="7" t="str">
        <v>NO</v>
      </c>
      <c r="R33" s="7">
        <v>0</v>
      </c>
      <c r="S33" s="6" t="str">
        <v>NO</v>
      </c>
      <c r="T33" s="6">
        <v>0</v>
      </c>
    </row>
    <row r="34" spans="1:20" x14ac:dyDescent="0.2">
      <c r="A34" s="6" t="str">
        <v>3b4f5a49-787f-46a0-9dbd-e5d3bbf4aeb9</v>
      </c>
      <c r="B34" s="17">
        <v>46248</v>
      </c>
      <c r="C34" s="7" t="str">
        <v>Attività</v>
      </c>
      <c r="D34" s="7" t="str">
        <v>Neist Point</v>
      </c>
      <c r="E34" s="7" t="str">
        <v>Nel piano</v>
      </c>
      <c r="F34" s="18">
        <v>0.82291666666666663</v>
      </c>
      <c r="G34" s="7" t="str">
        <v>arrivo, attesa tramonto</v>
      </c>
      <c r="H34" s="18">
        <v>0.88541666666666663</v>
      </c>
      <c r="I34" s="7" t="str">
        <v>partenza</v>
      </c>
      <c r="J34" s="7" t="str">
        <v>ChIJGzTtLIJUjEgRqkiiM77pK1c</v>
      </c>
      <c r="K34" s="7" t="str">
        <v>https://www.google.com/maps/place/?q=place_id:ChIJGzTtLIJUjEgRqkiiM77pK1c</v>
      </c>
      <c r="L34" s="7" t="str">
        <v/>
      </c>
      <c r="M34" s="7" t="str">
        <v/>
      </c>
      <c r="N34" s="8" t="str">
        <v/>
      </c>
      <c r="O34" s="8" t="str">
        <v>Faro all'estremita occidentale di Skye, punto panoramico spettacolare sulle scogliere.</v>
      </c>
      <c r="P34" s="7" t="str">
        <v/>
      </c>
      <c r="Q34" s="7" t="str">
        <v>SI</v>
      </c>
      <c r="R34" s="7">
        <v>0</v>
      </c>
      <c r="S34" s="6" t="str">
        <v>NO</v>
      </c>
      <c r="T34" s="6">
        <v>0</v>
      </c>
    </row>
    <row r="35" spans="1:20" x14ac:dyDescent="0.2">
      <c r="A35" s="6" t="str">
        <v>90c31c99-a447-40b1-8756-658ea7c53387</v>
      </c>
      <c r="B35" s="17">
        <v>46248</v>
      </c>
      <c r="C35" s="7" t="str">
        <v>Attività</v>
      </c>
      <c r="D35" s="7" t="str">
        <v>Coral Beach</v>
      </c>
      <c r="E35" s="7" t="str">
        <v>Facoltativo</v>
      </c>
      <c r="F35" s="18" t="str">
        <v/>
      </c>
      <c r="G35" s="7">
        <v>0</v>
      </c>
      <c r="H35" s="18">
        <v>0</v>
      </c>
      <c r="I35" s="7">
        <v>0</v>
      </c>
      <c r="J35" s="7" t="str">
        <v>ChIJTVC0He2yjUgRVR5Phm_3r-A</v>
      </c>
      <c r="K35" s="7" t="str">
        <v>https://www.google.com/maps/place/?q=place_id:ChIJTVC0He2yjUgRVR5Phm_3r-A</v>
      </c>
      <c r="L35" s="7" t="str">
        <v/>
      </c>
      <c r="M35" s="7" t="str">
        <v/>
      </c>
      <c r="N35" s="8" t="str">
        <v/>
      </c>
      <c r="O35" s="8" t="str">
        <v>Spiaggia bianca formata da alghe coralline fossili, vicino a Dunvegan sull'Isola di Skye.</v>
      </c>
      <c r="P35" s="7" t="str">
        <v/>
      </c>
      <c r="Q35" s="7" t="str">
        <v>SI</v>
      </c>
      <c r="R35" s="7" t="str">
        <v>Bassa</v>
      </c>
      <c r="S35" s="6" t="str">
        <v>NO</v>
      </c>
      <c r="T35" s="6">
        <v>0</v>
      </c>
    </row>
    <row r="36" spans="1:20" x14ac:dyDescent="0.2">
      <c r="A36" s="6" t="str">
        <v>4188832a-9c7c-467d-bcd1-500cac8d1f9b</v>
      </c>
      <c r="B36" s="17">
        <v>46248</v>
      </c>
      <c r="C36" s="7" t="str">
        <v>Attività</v>
      </c>
      <c r="D36" s="7" t="str">
        <v>Quiraing</v>
      </c>
      <c r="E36" s="7" t="str">
        <v>Facoltativo</v>
      </c>
      <c r="F36" s="18" t="str">
        <v/>
      </c>
      <c r="G36" s="7">
        <v>0</v>
      </c>
      <c r="H36" s="18">
        <v>0</v>
      </c>
      <c r="I36" s="7">
        <v>0</v>
      </c>
      <c r="J36" s="7" t="str">
        <v>ChIJ22ustw3PjUgRh-UmIClXt4E</v>
      </c>
      <c r="K36" s="7" t="str">
        <v>https://www.google.com/maps/place/?q=place_id:ChIJ22ustw3PjUgRh-UmIClXt4E</v>
      </c>
      <c r="L36" s="7" t="str">
        <v/>
      </c>
      <c r="M36" s="7" t="str">
        <v/>
      </c>
      <c r="N36" s="8" t="str">
        <v/>
      </c>
      <c r="O36" s="8" t="str">
        <v>Paesaggio roccioso surreale nel nord di Skye, percorso escursionistico panoramico.</v>
      </c>
      <c r="P36" s="7" t="str">
        <v/>
      </c>
      <c r="Q36" s="7" t="str">
        <v>SI</v>
      </c>
      <c r="R36" s="7" t="str">
        <v>Bassa</v>
      </c>
      <c r="S36" s="6" t="str">
        <v>NO</v>
      </c>
      <c r="T36" s="6">
        <v>0</v>
      </c>
    </row>
    <row r="37" spans="1:20" x14ac:dyDescent="0.2">
      <c r="A37" s="6" t="str">
        <v>16f2b9c6-a30b-4b1c-ac0d-49105ce84c96</v>
      </c>
      <c r="B37" s="17">
        <v>46248</v>
      </c>
      <c r="C37" s="7" t="str">
        <v>Attività</v>
      </c>
      <c r="D37" s="7" t="str">
        <v>South Skye Sea Kayak</v>
      </c>
      <c r="E37" s="7" t="str">
        <v>Facoltativo</v>
      </c>
      <c r="F37" s="18" t="str">
        <v/>
      </c>
      <c r="G37" s="7">
        <v>0</v>
      </c>
      <c r="H37" s="18">
        <v>0</v>
      </c>
      <c r="I37" s="7">
        <v>0</v>
      </c>
      <c r="J37" s="7" t="str">
        <v>ChIJ1S8tIXUfjEgRW5381Wm3lTw</v>
      </c>
      <c r="K37" s="7" t="str">
        <v>https://www.google.com/maps/place/?q=place_id:ChIJ1S8tIXUfjEgRW5381Wm3lTw</v>
      </c>
      <c r="L37" s="7" t="str">
        <v/>
      </c>
      <c r="M37" s="7" t="str">
        <v/>
      </c>
      <c r="N37" s="8" t="str">
        <v>08:00-20:00 (tutti i giorni)</v>
      </c>
      <c r="O37" s="8" t="str">
        <v>Escursioni guidate in kayak lungo la costa sud dell'Isola di Skye. (Nella bozza iniziale era pensato per il pomeriggio di arrivo a Skye; con solo 2 notti su Skye e difficile trovargli spazio senza sacrificare altro. Richiede comunque prenotazione anticipata.)</v>
      </c>
      <c r="P37" s="7" t="str">
        <v>+44 7592 059577</v>
      </c>
      <c r="Q37" s="7" t="str">
        <v>SI</v>
      </c>
      <c r="R37" s="7" t="str">
        <v>Bassa</v>
      </c>
      <c r="S37" s="6" t="str">
        <v>NO</v>
      </c>
      <c r="T37" s="6">
        <v>0</v>
      </c>
    </row>
    <row r="38" spans="1:20" x14ac:dyDescent="0.2">
      <c r="A38" s="6" t="str">
        <v>59f3b529-3f34-4713-b52d-45851fc39ad2</v>
      </c>
      <c r="B38" s="17">
        <v>46248</v>
      </c>
      <c r="C38" s="7" t="str">
        <v>Attività</v>
      </c>
      <c r="D38" s="7" t="str">
        <v>The Storr</v>
      </c>
      <c r="E38" s="7" t="str">
        <v>Facoltativo</v>
      </c>
      <c r="F38" s="18" t="str">
        <v/>
      </c>
      <c r="G38" s="7">
        <v>0</v>
      </c>
      <c r="H38" s="18">
        <v>0</v>
      </c>
      <c r="I38" s="7">
        <v>0</v>
      </c>
      <c r="J38" s="7" t="str">
        <v>ChIJl4aNAUfNjUgRFRlDXomKKGk</v>
      </c>
      <c r="K38" s="7" t="str">
        <v>https://www.google.com/maps/place/?q=place_id:ChIJl4aNAUfNjUgRFRlDXomKKGk</v>
      </c>
      <c r="L38" s="7" t="str">
        <v/>
      </c>
      <c r="M38" s="7" t="str">
        <v/>
      </c>
      <c r="N38" s="8" t="str">
        <v/>
      </c>
      <c r="O38" s="8" t="str">
        <v>Stesso trekking dell'Old Man of Storr (vedi riga 'Old Man of Storr - Parcheggio'): qui lasciato come riferimento/alternativa.</v>
      </c>
      <c r="P38" s="7" t="str">
        <v/>
      </c>
      <c r="Q38" s="7" t="str">
        <v>SI</v>
      </c>
      <c r="R38" s="7" t="str">
        <v>Bassa</v>
      </c>
      <c r="S38" s="6" t="str">
        <v>NO</v>
      </c>
      <c r="T38" s="6">
        <v>0</v>
      </c>
    </row>
    <row r="39" spans="1:20" x14ac:dyDescent="0.2">
      <c r="A39" s="6" t="str">
        <v>6f7f80b0-8798-4cfe-8802-3fff373dc05f</v>
      </c>
      <c r="B39" s="17">
        <v>46249</v>
      </c>
      <c r="C39" s="7" t="str">
        <v>Attività</v>
      </c>
      <c r="D39" s="7" t="str">
        <v>Eilean Donan Castle</v>
      </c>
      <c r="E39" s="7" t="str">
        <v>Nel piano</v>
      </c>
      <c r="F39" s="18">
        <v>0.41666666666666669</v>
      </c>
      <c r="G39" s="7">
        <v>0</v>
      </c>
      <c r="H39" s="18">
        <v>0.46875</v>
      </c>
      <c r="I39" s="7" t="str">
        <v>partenza</v>
      </c>
      <c r="J39" s="7" t="str">
        <v>ChIJjZMtqxmRjkgR02W__JeNI7M</v>
      </c>
      <c r="K39" s="7" t="str">
        <v>https://www.google.com/maps/place/?q=place_id:ChIJjZMtqxmRjkgR02W__JeNI7M</v>
      </c>
      <c r="L39" s="7" t="str">
        <v/>
      </c>
      <c r="M39" s="7" t="str">
        <v/>
      </c>
      <c r="N39" s="8" t="str">
        <v>09:00-17:00 (tutti i giorni)</v>
      </c>
      <c r="O39" s="8" t="str">
        <v>Uno dei castelli piu fotografati di Scozia, su un isolotto alla confluenza di tre laghi.</v>
      </c>
      <c r="P39" s="7" t="str">
        <v>+44 1599 555202</v>
      </c>
      <c r="Q39" s="7" t="str">
        <v>SI</v>
      </c>
      <c r="R39" s="7">
        <v>0</v>
      </c>
      <c r="S39" s="6" t="str">
        <v>NO</v>
      </c>
      <c r="T39" s="6">
        <v>0</v>
      </c>
    </row>
    <row r="40" spans="1:20" x14ac:dyDescent="0.2">
      <c r="A40" s="6" t="str">
        <v>0b69c7ed-fbd4-4399-89b4-29ebc9a687c7</v>
      </c>
      <c r="B40" s="17">
        <v>46249</v>
      </c>
      <c r="C40" s="7" t="str">
        <v>Tappa</v>
      </c>
      <c r="D40" s="7" t="str">
        <v>Fort William</v>
      </c>
      <c r="E40" s="7" t="str">
        <v>Nel piano</v>
      </c>
      <c r="F40" s="18">
        <v>0.53819444444444442</v>
      </c>
      <c r="G40" s="7">
        <v>0</v>
      </c>
      <c r="H40" s="18">
        <v>0.58333333333333337</v>
      </c>
      <c r="I40" s="7" t="str">
        <v>partenza</v>
      </c>
      <c r="J40" s="7" t="str">
        <v>ChIJGwMcNyMziUgRIUhUCOM-oM0</v>
      </c>
      <c r="K40" s="7" t="str">
        <v>https://www.google.com/maps/place/?q=place_id:ChIJGwMcNyMziUgRIUhUCOM-oM0</v>
      </c>
      <c r="L40" s="7" t="str">
        <v/>
      </c>
      <c r="M40" s="7" t="str">
        <v/>
      </c>
      <c r="N40" s="8" t="str">
        <v/>
      </c>
      <c r="O40" s="8" t="str">
        <v>Cittadina ai piedi del Ben Nevis, base per Glencoe e le Highlands occidentali.</v>
      </c>
      <c r="P40" s="7" t="str">
        <v/>
      </c>
      <c r="Q40" s="7" t="str">
        <v>NO</v>
      </c>
      <c r="R40" s="7">
        <v>0</v>
      </c>
      <c r="S40" s="6" t="str">
        <v>NO</v>
      </c>
      <c r="T40" s="6">
        <v>0</v>
      </c>
    </row>
    <row r="41" spans="1:20" x14ac:dyDescent="0.2">
      <c r="A41" s="6" t="str">
        <v>eb7f0bf0-a106-476f-966e-416f7fc57388</v>
      </c>
      <c r="B41" s="17">
        <v>46249</v>
      </c>
      <c r="C41" s="7" t="str">
        <v>Relax</v>
      </c>
      <c r="D41" s="7" t="str">
        <v>The Geographer (Fort William) - pranzo</v>
      </c>
      <c r="E41" s="7" t="str">
        <v>Nel piano</v>
      </c>
      <c r="F41" s="18">
        <v>0.54166666666666663</v>
      </c>
      <c r="G41" s="7">
        <v>0</v>
      </c>
      <c r="H41" s="18">
        <v>0.58333333333333337</v>
      </c>
      <c r="I41" s="7" t="str">
        <v>partenza</v>
      </c>
      <c r="J41" s="7" t="str">
        <v>ChIJkfh3NqvMjkgRHmPixSmuz68</v>
      </c>
      <c r="K41" s="7" t="str">
        <v>https://www.google.com/maps/place/?q=place_id:ChIJkfh3NqvMjkgRHmPixSmuz68</v>
      </c>
      <c r="L41" s="7" t="str">
        <v/>
      </c>
      <c r="M41" s="7" t="str">
        <v/>
      </c>
      <c r="N41" s="8" t="str">
        <v>12:00-14:00 e 17:00-21:00 (sabato)</v>
      </c>
      <c r="O41" s="8" t="str">
        <v>Bistrot molto ben valutato sulla via principale di Fort William.</v>
      </c>
      <c r="P41" s="7" t="str">
        <v>+44 1397 705011</v>
      </c>
      <c r="Q41" s="7" t="str">
        <v>NO</v>
      </c>
      <c r="R41" s="7">
        <v>0</v>
      </c>
      <c r="S41" s="6" t="str">
        <v>NO</v>
      </c>
      <c r="T41" s="6">
        <v>0</v>
      </c>
    </row>
    <row r="42" spans="1:20" x14ac:dyDescent="0.2">
      <c r="A42" s="6" t="str">
        <v>d31fb753-27ba-4f02-ae93-8296823ae598</v>
      </c>
      <c r="B42" s="17">
        <v>46249</v>
      </c>
      <c r="C42" s="7" t="str">
        <v>Attività</v>
      </c>
      <c r="D42" s="7" t="str">
        <v>Coire Gabhail (Lost Valley)</v>
      </c>
      <c r="E42" s="7" t="str">
        <v>Nel piano</v>
      </c>
      <c r="F42" s="18">
        <v>0.60763888888888884</v>
      </c>
      <c r="G42" s="7">
        <v>0</v>
      </c>
      <c r="H42" s="18">
        <v>0.69097222222222221</v>
      </c>
      <c r="I42" s="7" t="str">
        <v>partenza</v>
      </c>
      <c r="J42" s="7" t="str">
        <v>ChIJN5IGzhIwiUgRGpdPXeg0P4s</v>
      </c>
      <c r="K42" s="7" t="str">
        <v>https://www.google.com/maps/place/?q=place_id:ChIJN5IGzhIwiUgRGpdPXeg0P4s</v>
      </c>
      <c r="L42" s="7" t="str">
        <v/>
      </c>
      <c r="M42" s="7" t="str">
        <v/>
      </c>
      <c r="N42" s="8" t="str">
        <v/>
      </c>
      <c r="O42" s="8" t="str">
        <v>Valle nascosta a Glencoe, escursione con un breve tratto di arrampicata leggera.</v>
      </c>
      <c r="P42" s="7" t="str">
        <v/>
      </c>
      <c r="Q42" s="7" t="str">
        <v>SI</v>
      </c>
      <c r="R42" s="7">
        <v>0</v>
      </c>
      <c r="S42" s="6" t="str">
        <v>NO</v>
      </c>
      <c r="T42" s="6">
        <v>0</v>
      </c>
    </row>
    <row r="43" spans="1:20" x14ac:dyDescent="0.2">
      <c r="A43" s="6" t="str">
        <v>6350da6e-95d5-4a4d-8e70-483723809614</v>
      </c>
      <c r="B43" s="17">
        <v>46249</v>
      </c>
      <c r="C43" s="7" t="str">
        <v>Trasporto</v>
      </c>
      <c r="D43" s="7" t="str">
        <v>4X4 Hire Scotland Ltd (riconsegna auto)</v>
      </c>
      <c r="E43" s="7" t="str">
        <v>Nel piano</v>
      </c>
      <c r="F43" s="18">
        <v>0.83333333333333337</v>
      </c>
      <c r="G43" s="7">
        <v>0.85416666666666663</v>
      </c>
      <c r="H43" s="18">
        <v>0</v>
      </c>
      <c r="I43" s="7">
        <v>0</v>
      </c>
      <c r="J43" s="7" t="str">
        <v>ChIJm05Y_ibFh0gRrPhn7koVhmQ</v>
      </c>
      <c r="K43" s="7" t="str">
        <v>https://www.google.com/maps/place/?q=place_id:ChIJm05Y_ibFh0gRrPhn7koVhmQ</v>
      </c>
      <c r="L43" s="7" t="str">
        <v/>
      </c>
      <c r="M43" s="7" t="str">
        <v/>
      </c>
      <c r="N43" s="8" t="str">
        <v/>
      </c>
      <c r="O43" s="8" t="str">
        <v>Riconsegna del veicolo a noleggio prima del rientro in aeroporto.</v>
      </c>
      <c r="P43" s="7" t="str">
        <v>+44 131 333 5070</v>
      </c>
      <c r="Q43" s="7" t="str">
        <v>NO</v>
      </c>
      <c r="R43" s="7">
        <v>0</v>
      </c>
      <c r="S43" s="6" t="str">
        <v>NO</v>
      </c>
      <c r="T43" s="6">
        <v>0</v>
      </c>
    </row>
    <row r="44" spans="1:20" x14ac:dyDescent="0.2">
      <c r="A44" s="6" t="str">
        <v>136faef9-d72d-4a6d-af3d-6f927881ca40</v>
      </c>
      <c r="B44" s="17">
        <v>46249</v>
      </c>
      <c r="C44" s="7" t="str">
        <v>Alloggio</v>
      </c>
      <c r="D44" s="7" t="str">
        <v>DoubleTree by Hilton Edinburgh Airport (2a notte)</v>
      </c>
      <c r="E44" s="7" t="str">
        <v>Nel piano</v>
      </c>
      <c r="F44" s="18">
        <v>0.86458333333333337</v>
      </c>
      <c r="G44" s="7" t="str">
        <v>check-in</v>
      </c>
      <c r="H44" s="18">
        <v>0</v>
      </c>
      <c r="I44" s="7" t="str">
        <v>Check-out 2026-08-16</v>
      </c>
      <c r="J44" s="7" t="str">
        <v>ChIJgV8j2gXFh0gR-kpGqwUreYk</v>
      </c>
      <c r="K44" s="7" t="str">
        <v>https://www.google.com/maps/place/?q=place_id:ChIJgV8j2gXFh0gR-kpGqwUreYk</v>
      </c>
      <c r="L44" s="7" t="str">
        <v/>
      </c>
      <c r="M44" s="7" t="str">
        <v/>
      </c>
      <c r="N44" s="8" t="str">
        <v/>
      </c>
      <c r="O44" s="8" t="str">
        <v>Hotel 4 stelle a pochi minuti dall'aeroporto di Edimburgo.</v>
      </c>
      <c r="P44" s="7" t="str">
        <v>+44 131 519 4400</v>
      </c>
      <c r="Q44" s="7" t="str">
        <v>NO</v>
      </c>
      <c r="R44" s="7">
        <v>0</v>
      </c>
      <c r="S44" s="6" t="str">
        <v>NO</v>
      </c>
      <c r="T44" s="6">
        <v>0</v>
      </c>
    </row>
    <row r="45" spans="1:20" x14ac:dyDescent="0.2">
      <c r="A45" s="6" t="str">
        <v>2fae519e-b357-4089-9f17-d8f7c0c28980</v>
      </c>
      <c r="B45" s="17">
        <v>46249</v>
      </c>
      <c r="C45" s="7" t="str">
        <v>Relax</v>
      </c>
      <c r="D45" s="7" t="str">
        <v>Olive &amp; Stone (DoubleTree Edinburgh Airport) - cena</v>
      </c>
      <c r="E45" s="7" t="str">
        <v>Nel piano</v>
      </c>
      <c r="F45" s="18">
        <v>0.86458333333333337</v>
      </c>
      <c r="G45" s="7">
        <v>0</v>
      </c>
      <c r="H45" s="18">
        <v>0.89583333333333337</v>
      </c>
      <c r="I45" s="7">
        <v>0</v>
      </c>
      <c r="J45" s="7" t="str">
        <v>ChIJidoQ4QTFh0gR_Crunap6Oy4</v>
      </c>
      <c r="K45" s="7">
        <v>0</v>
      </c>
      <c r="L45" s="7" t="str">
        <v/>
      </c>
      <c r="M45" s="7" t="str">
        <v/>
      </c>
      <c r="N45" s="8" t="str">
        <v>Aperto fino alle 22:00</v>
      </c>
      <c r="O45" s="8" t="str">
        <v>Ristorante dentro il DoubleTree stesso: comodo dopo il check-in tardivo. Cena oltre la finestra ideale (18:00-19:30), inevitabile per via della riconsegna auto alle 20:00-20:30.</v>
      </c>
      <c r="P45" s="7" t="str">
        <v/>
      </c>
      <c r="Q45" s="7" t="str">
        <v>NO</v>
      </c>
      <c r="R45" s="7">
        <v>0</v>
      </c>
      <c r="S45" s="6" t="str">
        <v>NO</v>
      </c>
      <c r="T45" s="6">
        <v>0</v>
      </c>
    </row>
    <row r="46" spans="1:20" x14ac:dyDescent="0.2">
      <c r="A46" s="6" t="str">
        <v>f565ac90-1e9b-4b94-aada-a67e1c880796</v>
      </c>
      <c r="B46" s="17">
        <v>46250</v>
      </c>
      <c r="C46" s="7" t="str">
        <v>Trasporto</v>
      </c>
      <c r="D46" s="7" t="str">
        <v>Volo di partenza LH2525 (Edimburgo)</v>
      </c>
      <c r="E46" s="7" t="str">
        <v>Nel piano</v>
      </c>
      <c r="F46" s="18" t="str">
        <v/>
      </c>
      <c r="G46" s="7" t="str">
        <v>da verificare</v>
      </c>
      <c r="H46" s="18">
        <v>0</v>
      </c>
      <c r="I46" s="7">
        <v>0</v>
      </c>
      <c r="J46" s="7" t="str">
        <v>ChIJfQHjkw7Fh0gRm9WxkiUKUxk</v>
      </c>
      <c r="K46" s="7">
        <v>0</v>
      </c>
      <c r="L46" s="7" t="str">
        <v/>
      </c>
      <c r="M46" s="7" t="str">
        <v/>
      </c>
      <c r="N46" s="8" t="str">
        <v/>
      </c>
      <c r="O46" s="8" t="str">
        <v>Volo Lufthansa in partenza da Edimburgo verso il rientro.</v>
      </c>
      <c r="P46" s="7" t="str">
        <v/>
      </c>
      <c r="Q46" s="7" t="str">
        <v>NO</v>
      </c>
      <c r="R46" s="7">
        <v>0</v>
      </c>
      <c r="S46" s="6" t="str">
        <v>NO</v>
      </c>
      <c r="T46" s="6">
        <v>0</v>
      </c>
    </row>
    <row r="47" spans="1:20" x14ac:dyDescent="0.2">
      <c r="A47" s="6" t="str">
        <v>86527153-66ce-4294-90c9-258ac5436b3f</v>
      </c>
      <c r="B47" s="17" t="str">
        <v/>
      </c>
      <c r="C47" s="7" t="str">
        <v>Trasporto</v>
      </c>
      <c r="D47" s="7" t="str">
        <v>Aeroporto di Edimburgo</v>
      </c>
      <c r="E47" s="7" t="str">
        <v>Facoltativo</v>
      </c>
      <c r="F47" s="18" t="str">
        <v/>
      </c>
      <c r="G47" s="7">
        <v>0</v>
      </c>
      <c r="H47" s="18">
        <v>0</v>
      </c>
      <c r="I47" s="7">
        <v>0</v>
      </c>
      <c r="J47" s="7" t="str">
        <v>ChIJfQHjkw7Fh0gRm9WxkiUKUxk</v>
      </c>
      <c r="K47" s="7" t="str">
        <v>https://www.google.com/maps/place/?q=place_id:ChIJfQHjkw7Fh0gRm9WxkiUKUxk</v>
      </c>
      <c r="L47" s="7" t="str">
        <v/>
      </c>
      <c r="M47" s="7" t="str">
        <v/>
      </c>
      <c r="N47" s="8" t="str">
        <v/>
      </c>
      <c r="O47" s="8" t="str">
        <v>Aeroporto principale di Edimburgo.</v>
      </c>
      <c r="P47" s="7" t="str">
        <v>+44 131 357 6337</v>
      </c>
      <c r="Q47" s="7" t="str">
        <v>NO</v>
      </c>
      <c r="R47" s="7" t="str">
        <v>Bassa</v>
      </c>
      <c r="S47" s="6" t="str">
        <v>NO</v>
      </c>
      <c r="T47" s="6">
        <v>0</v>
      </c>
    </row>
    <row r="48" spans="1:20" x14ac:dyDescent="0.2">
      <c r="A48" s="6" t="str">
        <v>ecdddca4-c0dd-4980-acbf-28355112d308</v>
      </c>
      <c r="B48" s="17" t="str">
        <v/>
      </c>
      <c r="C48" s="7" t="str">
        <v>Tappa</v>
      </c>
      <c r="D48" s="7" t="str">
        <v>Arisaig</v>
      </c>
      <c r="E48" s="7" t="str">
        <v>Facoltativo</v>
      </c>
      <c r="F48" s="18" t="str">
        <v/>
      </c>
      <c r="G48" s="7">
        <v>0</v>
      </c>
      <c r="H48" s="18">
        <v>0</v>
      </c>
      <c r="I48" s="7">
        <v>0</v>
      </c>
      <c r="J48" s="7" t="str">
        <v>ChIJCQOLaBUCjEgRpW2J-RY7PwY</v>
      </c>
      <c r="K48" s="7" t="str">
        <v>https://www.google.com/maps/place/?q=place_id:ChIJCQOLaBUCjEgRpW2J-RY7PwY</v>
      </c>
      <c r="L48" s="7" t="str">
        <v/>
      </c>
      <c r="M48" s="7" t="str">
        <v/>
      </c>
      <c r="N48" s="8" t="str">
        <v/>
      </c>
      <c r="O48" s="8" t="str">
        <v>Villaggio costiero sulla strada per le Ebridi, punto di sosta suggestivo.</v>
      </c>
      <c r="P48" s="7" t="str">
        <v/>
      </c>
      <c r="Q48" s="7" t="str">
        <v>NO</v>
      </c>
      <c r="R48" s="7" t="str">
        <v>Bassa</v>
      </c>
      <c r="S48" s="6" t="str">
        <v>NO</v>
      </c>
      <c r="T48" s="6">
        <v>0</v>
      </c>
    </row>
    <row r="49" spans="1:20" x14ac:dyDescent="0.2">
      <c r="A49" s="6" t="str">
        <v>e7f63434-3c5e-444b-96af-0356fdeda93d</v>
      </c>
      <c r="B49" s="17" t="str">
        <v/>
      </c>
      <c r="C49" s="7" t="str">
        <v>Alloggio</v>
      </c>
      <c r="D49" s="7" t="str">
        <v>Cairn Hotel Edinburgh</v>
      </c>
      <c r="E49" s="7" t="str">
        <v>Facoltativo</v>
      </c>
      <c r="F49" s="18" t="str">
        <v/>
      </c>
      <c r="G49" s="7">
        <v>0</v>
      </c>
      <c r="H49" s="18">
        <v>0</v>
      </c>
      <c r="I49" s="7">
        <v>0</v>
      </c>
      <c r="J49" s="7" t="str">
        <v>ChIJgd0nrIvHh0gRHeP-DdKnRgw</v>
      </c>
      <c r="K49" s="7" t="str">
        <v>https://www.google.com/maps/place/?q=place_id:ChIJgd0nrIvHh0gRHeP-DdKnRgw</v>
      </c>
      <c r="L49" s="7" t="str">
        <v/>
      </c>
      <c r="M49" s="7" t="str">
        <v/>
      </c>
      <c r="N49" s="8" t="str">
        <v/>
      </c>
      <c r="O49" s="8" t="str">
        <v>Hotel centrale a Edimburgo, vicino a Calton Hill. (Alternativa di alloggio non utilizzata: per il viaggio avete confermato il DoubleTree by Hilton Edinburgh Airport.)</v>
      </c>
      <c r="P49" s="7" t="str">
        <v>+44 131 557 0175</v>
      </c>
      <c r="Q49" s="7" t="str">
        <v>NO</v>
      </c>
      <c r="R49" s="7" t="str">
        <v>Bassa</v>
      </c>
      <c r="S49" s="6" t="str">
        <v>NO</v>
      </c>
      <c r="T49" s="6">
        <v>0</v>
      </c>
    </row>
    <row r="50" spans="1:20" x14ac:dyDescent="0.2">
      <c r="A50" s="6" t="str">
        <v>fc61b043-751a-402b-885b-621cbef5e838</v>
      </c>
      <c r="B50" s="17" t="str">
        <v/>
      </c>
      <c r="C50" s="7" t="str">
        <v>Attività</v>
      </c>
      <c r="D50" s="7" t="str">
        <v>Castello di Dunnottar</v>
      </c>
      <c r="E50" s="7" t="str">
        <v>Facoltativo</v>
      </c>
      <c r="F50" s="18" t="str">
        <v/>
      </c>
      <c r="G50" s="7">
        <v>0</v>
      </c>
      <c r="H50" s="18">
        <v>0</v>
      </c>
      <c r="I50" s="7">
        <v>0</v>
      </c>
      <c r="J50" s="7" t="str">
        <v>ChIJBUM-uswdhEgRlZgNtFiu9Fc</v>
      </c>
      <c r="K50" s="7" t="str">
        <v>https://www.google.com/maps/place/?q=place_id:ChIJBUM-uswdhEgRlZgNtFiu9Fc</v>
      </c>
      <c r="L50" s="7" t="str">
        <v/>
      </c>
      <c r="M50" s="7" t="str">
        <v>~13 £ (stimato)</v>
      </c>
      <c r="N50" s="8" t="str">
        <v>09:00-18:00 (tutti i giorni)</v>
      </c>
      <c r="O50" s="8" t="str">
        <v>Rovine di un castello medievale su una scogliera a picco sul mare, vicino a Stonehaven. (Fuori dal percorso pianificato: si trova vicino Aberdeen, lontano dalle altre tappe.)</v>
      </c>
      <c r="P50" s="7" t="str">
        <v>+44 1569 766320</v>
      </c>
      <c r="Q50" s="7" t="str">
        <v>SI</v>
      </c>
      <c r="R50" s="7" t="str">
        <v>Bassa</v>
      </c>
      <c r="S50" s="6" t="str">
        <v>NO</v>
      </c>
      <c r="T50" s="6">
        <v>0</v>
      </c>
    </row>
    <row r="51" spans="1:20" x14ac:dyDescent="0.2">
      <c r="A51" s="6" t="str">
        <v>8731b9d3-3664-4513-92f3-a9c90ef143a0</v>
      </c>
      <c r="B51" s="17" t="str">
        <v/>
      </c>
      <c r="C51" s="7" t="str">
        <v>Attività</v>
      </c>
      <c r="D51" s="7" t="str">
        <v>Glenfinnan Viaduct</v>
      </c>
      <c r="E51" s="7" t="str">
        <v>Facoltativo</v>
      </c>
      <c r="F51" s="18" t="str">
        <v/>
      </c>
      <c r="G51" s="7">
        <v>0</v>
      </c>
      <c r="H51" s="18">
        <v>0</v>
      </c>
      <c r="I51" s="7">
        <v>0</v>
      </c>
      <c r="J51" s="7" t="str">
        <v>ChIJtaE4NcmzjkgR5z8-41V_s_c</v>
      </c>
      <c r="K51" s="7" t="str">
        <v>https://www.google.com/maps/place/?q=place_id:ChIJtaE4NcmzjkgR5z8-41V_s_c</v>
      </c>
      <c r="L51" s="7" t="str">
        <v/>
      </c>
      <c r="M51" s="7" t="str">
        <v/>
      </c>
      <c r="N51" s="8" t="str">
        <v>Sempre aperto</v>
      </c>
      <c r="O51" s="8" t="str">
        <v>Viadotto ferroviario reso famoso da Harry Potter, con passaggio del treno a vapore Jacobite.</v>
      </c>
      <c r="P51" s="7" t="str">
        <v/>
      </c>
      <c r="Q51" s="7" t="str">
        <v>SI</v>
      </c>
      <c r="R51" s="7" t="str">
        <v>Bassa</v>
      </c>
      <c r="S51" s="6" t="str">
        <v>NO</v>
      </c>
      <c r="T51" s="6">
        <v>0</v>
      </c>
    </row>
    <row r="52" spans="1:20" x14ac:dyDescent="0.2">
      <c r="A52" s="6" t="str">
        <v>2c8a00ae-b5b9-4700-b565-6405308aefcc</v>
      </c>
      <c r="B52" s="17" t="str">
        <v/>
      </c>
      <c r="C52" s="7" t="str">
        <v>Attività</v>
      </c>
      <c r="D52" s="7" t="str">
        <v>Traigh Beach</v>
      </c>
      <c r="E52" s="7" t="str">
        <v>Facoltativo</v>
      </c>
      <c r="F52" s="18" t="str">
        <v/>
      </c>
      <c r="G52" s="7">
        <v>0</v>
      </c>
      <c r="H52" s="18">
        <v>0</v>
      </c>
      <c r="I52" s="7">
        <v>0</v>
      </c>
      <c r="J52" s="7" t="str">
        <v>ChIJZX-C6YQDjEgRSOwgLqXv2xE</v>
      </c>
      <c r="K52" s="7" t="str">
        <v>https://www.google.com/maps/place/?q=place_id:ChIJZX-C6YQDjEgRSOwgLqXv2xE</v>
      </c>
      <c r="L52" s="7" t="str">
        <v/>
      </c>
      <c r="M52" s="7" t="str">
        <v/>
      </c>
      <c r="N52" s="8" t="str">
        <v>Sempre aperto</v>
      </c>
      <c r="O52" s="8" t="str">
        <v>Spiaggia di sabbia bianca vicino ad Arisaig, con vista sulle isole di Eigg e Rum.</v>
      </c>
      <c r="P52" s="7" t="str">
        <v/>
      </c>
      <c r="Q52" s="7" t="str">
        <v>SI</v>
      </c>
      <c r="R52" s="7" t="str">
        <v>Bassa</v>
      </c>
      <c r="S52" s="6" t="str">
        <v>NO</v>
      </c>
      <c r="T52" s="6">
        <v>0</v>
      </c>
    </row>
    <row r="53" spans="1:20" x14ac:dyDescent="0.2">
      <c r="A53" s="6"/>
      <c r="B53" s="17"/>
      <c r="C53" s="7"/>
      <c r="D53" s="7"/>
      <c r="E53" s="7"/>
      <c r="F53" s="18"/>
      <c r="G53" s="7"/>
      <c r="H53" s="18"/>
      <c r="I53" s="7"/>
      <c r="J53" s="7"/>
      <c r="K53" s="7"/>
      <c r="L53" s="7"/>
      <c r="M53" s="7"/>
      <c r="N53" s="8"/>
      <c r="O53" s="8"/>
      <c r="P53" s="7"/>
      <c r="Q53" s="7"/>
      <c r="R53" s="7"/>
      <c r="S53" s="6"/>
      <c r="T53" s="6"/>
    </row>
  </sheetData>
  <autoFilter ref="A1:T53" xr:uid="{00000000-0009-0000-0000-000001000000}"/>
  <conditionalFormatting sqref="B2:B53">
    <cfRule type="cellIs" dxfId="6" priority="6" operator="equal">
      <formula>""</formula>
    </cfRule>
  </conditionalFormatting>
  <conditionalFormatting sqref="F2:F53">
    <cfRule type="cellIs" dxfId="5" priority="7" operator="equal">
      <formula>""</formula>
    </cfRule>
  </conditionalFormatting>
  <conditionalFormatting sqref="J2:J53">
    <cfRule type="cellIs" dxfId="4" priority="1" operator="equal">
      <formula>""</formula>
    </cfRule>
  </conditionalFormatting>
  <conditionalFormatting sqref="L2:O53">
    <cfRule type="cellIs" dxfId="3" priority="2" operator="equal">
      <formula>""</formula>
    </cfRule>
  </conditionalFormatting>
  <dataValidations count="5">
    <dataValidation type="list" allowBlank="1" sqref="R2:R53" xr:uid="{00000000-0002-0000-0100-000002000000}">
      <formula1>"Alta,Media,Bassa,"</formula1>
    </dataValidation>
    <dataValidation type="list" sqref="Q2:Q53" xr:uid="{00000000-0002-0000-0100-000003000000}">
      <formula1>"SI,NO"</formula1>
    </dataValidation>
    <dataValidation type="list" allowBlank="1" showInputMessage="1" showErrorMessage="1" errorTitle="Giorno non valido" error="Seleziona un giorno compreso tra il 10 e il 16 agosto 2026." sqref="B2:B53" xr:uid="{D25CF9E8-DC2F-4A40-95DF-5A09FFED0D01}">
      <formula1>"2026-08-10,2026-08-11,2026-08-12,2026-08-13,2026-08-14,2026-08-15,2026-08-16"</formula1>
    </dataValidation>
    <dataValidation type="list" allowBlank="1" showInputMessage="1" showErrorMessage="1" errorTitle="Valore non valido" error="Seleziona 'Nel piano' oppure 'Facoltativo'." sqref="E2:E53" xr:uid="{69FE0610-E678-BD42-96D0-EE6FAAD5C257}">
      <formula1>"Nel piano,Facoltativo"</formula1>
    </dataValidation>
    <dataValidation type="list" allowBlank="1" showInputMessage="1" sqref="C2:C53" xr:uid="{612AD6FA-E727-6E43-9FD0-5936D942DAA7}">
      <formula1>"Alloggio,Attività,Relax,Tappa,Trasporto,Nota"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zoomScale="200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cols>
    <col min="1" max="1" width="20" customWidth="1"/>
    <col min="2" max="2" width="24" customWidth="1"/>
    <col min="3" max="3" width="14" customWidth="1"/>
    <col min="4" max="4" width="12" customWidth="1"/>
    <col min="5" max="5" width="34" customWidth="1"/>
    <col min="6" max="6" width="60" customWidth="1"/>
  </cols>
  <sheetData>
    <row r="1" spans="1:6" ht="28" customHeight="1" x14ac:dyDescent="0.2">
      <c r="A1" s="9" t="s">
        <v>348</v>
      </c>
      <c r="B1" s="9" t="s">
        <v>349</v>
      </c>
      <c r="C1" s="9" t="s">
        <v>350</v>
      </c>
      <c r="D1" s="9" t="s">
        <v>351</v>
      </c>
      <c r="E1" s="9" t="s">
        <v>352</v>
      </c>
      <c r="F1" s="9" t="s">
        <v>353</v>
      </c>
    </row>
    <row r="2" spans="1:6" ht="30" x14ac:dyDescent="0.2">
      <c r="A2" s="10" t="s">
        <v>354</v>
      </c>
      <c r="B2" s="10" t="s">
        <v>355</v>
      </c>
      <c r="C2" s="10" t="s">
        <v>356</v>
      </c>
      <c r="D2" s="10" t="s">
        <v>357</v>
      </c>
      <c r="E2" s="10" t="s">
        <v>358</v>
      </c>
      <c r="F2" s="10" t="s">
        <v>359</v>
      </c>
    </row>
    <row r="3" spans="1:6" ht="30" x14ac:dyDescent="0.2">
      <c r="A3" s="10" t="s">
        <v>360</v>
      </c>
      <c r="B3" s="10" t="s">
        <v>361</v>
      </c>
      <c r="C3" s="10" t="s">
        <v>356</v>
      </c>
      <c r="D3" s="10" t="s">
        <v>357</v>
      </c>
      <c r="E3" s="10" t="s">
        <v>362</v>
      </c>
      <c r="F3" s="10" t="s">
        <v>363</v>
      </c>
    </row>
    <row r="4" spans="1:6" ht="32" x14ac:dyDescent="0.2">
      <c r="A4" s="8" t="s">
        <v>364</v>
      </c>
      <c r="B4" s="8" t="s">
        <v>11</v>
      </c>
      <c r="C4" s="8" t="s">
        <v>365</v>
      </c>
      <c r="D4" s="8" t="s">
        <v>366</v>
      </c>
      <c r="E4" s="8" t="s">
        <v>367</v>
      </c>
      <c r="F4" s="8" t="s">
        <v>368</v>
      </c>
    </row>
    <row r="5" spans="1:6" ht="32" x14ac:dyDescent="0.2">
      <c r="A5" s="8" t="s">
        <v>369</v>
      </c>
      <c r="B5" s="8" t="s">
        <v>12</v>
      </c>
      <c r="C5" s="8" t="s">
        <v>370</v>
      </c>
      <c r="D5" s="8" t="s">
        <v>371</v>
      </c>
      <c r="E5" s="8" t="s">
        <v>432</v>
      </c>
      <c r="F5" s="8" t="s">
        <v>372</v>
      </c>
    </row>
    <row r="6" spans="1:6" ht="16" x14ac:dyDescent="0.2">
      <c r="A6" s="8" t="s">
        <v>373</v>
      </c>
      <c r="B6" s="8" t="s">
        <v>13</v>
      </c>
      <c r="C6" s="8" t="s">
        <v>374</v>
      </c>
      <c r="D6" s="8" t="s">
        <v>371</v>
      </c>
      <c r="E6" s="8" t="s">
        <v>375</v>
      </c>
      <c r="F6" s="8" t="s">
        <v>376</v>
      </c>
    </row>
    <row r="7" spans="1:6" ht="32" x14ac:dyDescent="0.2">
      <c r="A7" s="8" t="s">
        <v>377</v>
      </c>
      <c r="B7" s="8" t="s">
        <v>14</v>
      </c>
      <c r="C7" s="8" t="s">
        <v>370</v>
      </c>
      <c r="D7" s="8" t="s">
        <v>371</v>
      </c>
      <c r="E7" s="8" t="s">
        <v>378</v>
      </c>
      <c r="F7" s="8" t="s">
        <v>379</v>
      </c>
    </row>
    <row r="8" spans="1:6" ht="32" x14ac:dyDescent="0.2">
      <c r="A8" s="8" t="s">
        <v>380</v>
      </c>
      <c r="B8" s="8" t="s">
        <v>15</v>
      </c>
      <c r="C8" s="8" t="s">
        <v>381</v>
      </c>
      <c r="D8" s="8" t="s">
        <v>366</v>
      </c>
      <c r="E8" s="8" t="s">
        <v>382</v>
      </c>
      <c r="F8" s="8" t="s">
        <v>383</v>
      </c>
    </row>
    <row r="9" spans="1:6" ht="32" x14ac:dyDescent="0.2">
      <c r="A9" s="8" t="s">
        <v>384</v>
      </c>
      <c r="B9" s="8" t="s">
        <v>16</v>
      </c>
      <c r="C9" s="8" t="s">
        <v>374</v>
      </c>
      <c r="D9" s="8" t="s">
        <v>366</v>
      </c>
      <c r="E9" s="8" t="s">
        <v>385</v>
      </c>
      <c r="F9" s="8" t="s">
        <v>386</v>
      </c>
    </row>
    <row r="10" spans="1:6" ht="32" x14ac:dyDescent="0.2">
      <c r="A10" s="8" t="s">
        <v>387</v>
      </c>
      <c r="B10" s="8" t="s">
        <v>17</v>
      </c>
      <c r="C10" s="8" t="s">
        <v>381</v>
      </c>
      <c r="D10" s="8" t="s">
        <v>366</v>
      </c>
      <c r="E10" s="8" t="s">
        <v>388</v>
      </c>
      <c r="F10" s="8" t="s">
        <v>389</v>
      </c>
    </row>
    <row r="11" spans="1:6" ht="16" x14ac:dyDescent="0.2">
      <c r="A11" s="8" t="s">
        <v>390</v>
      </c>
      <c r="B11" s="8" t="s">
        <v>18</v>
      </c>
      <c r="C11" s="8" t="s">
        <v>374</v>
      </c>
      <c r="D11" s="8" t="s">
        <v>366</v>
      </c>
      <c r="E11" s="8" t="s">
        <v>375</v>
      </c>
      <c r="F11" s="8" t="s">
        <v>391</v>
      </c>
    </row>
    <row r="12" spans="1:6" ht="32" x14ac:dyDescent="0.2">
      <c r="A12" s="8" t="s">
        <v>392</v>
      </c>
      <c r="B12" s="8" t="s">
        <v>19</v>
      </c>
      <c r="C12" s="8" t="s">
        <v>374</v>
      </c>
      <c r="D12" s="8" t="s">
        <v>393</v>
      </c>
      <c r="E12" s="8" t="s">
        <v>394</v>
      </c>
      <c r="F12" s="8" t="s">
        <v>395</v>
      </c>
    </row>
    <row r="13" spans="1:6" ht="32" x14ac:dyDescent="0.2">
      <c r="A13" s="8" t="s">
        <v>396</v>
      </c>
      <c r="B13" s="8" t="s">
        <v>20</v>
      </c>
      <c r="C13" s="8" t="s">
        <v>397</v>
      </c>
      <c r="D13" s="8" t="s">
        <v>366</v>
      </c>
      <c r="E13" s="8" t="s">
        <v>398</v>
      </c>
      <c r="F13" s="8" t="s">
        <v>399</v>
      </c>
    </row>
    <row r="14" spans="1:6" ht="16" x14ac:dyDescent="0.2">
      <c r="A14" s="8" t="s">
        <v>400</v>
      </c>
      <c r="B14" s="8" t="s">
        <v>21</v>
      </c>
      <c r="C14" s="8" t="s">
        <v>397</v>
      </c>
      <c r="D14" s="8" t="s">
        <v>366</v>
      </c>
      <c r="E14" s="8" t="s">
        <v>397</v>
      </c>
      <c r="F14" s="8" t="s">
        <v>401</v>
      </c>
    </row>
    <row r="15" spans="1:6" ht="16" x14ac:dyDescent="0.2">
      <c r="A15" s="8" t="s">
        <v>402</v>
      </c>
      <c r="B15" s="8" t="s">
        <v>22</v>
      </c>
      <c r="C15" s="8" t="s">
        <v>374</v>
      </c>
      <c r="D15" s="8" t="s">
        <v>366</v>
      </c>
      <c r="E15" s="8" t="s">
        <v>403</v>
      </c>
      <c r="F15" s="8" t="s">
        <v>401</v>
      </c>
    </row>
    <row r="16" spans="1:6" ht="32" x14ac:dyDescent="0.2">
      <c r="A16" s="8" t="s">
        <v>404</v>
      </c>
      <c r="B16" s="8" t="s">
        <v>23</v>
      </c>
      <c r="C16" s="8" t="s">
        <v>374</v>
      </c>
      <c r="D16" s="8" t="s">
        <v>366</v>
      </c>
      <c r="E16" s="8" t="s">
        <v>405</v>
      </c>
      <c r="F16" s="8" t="s">
        <v>406</v>
      </c>
    </row>
    <row r="17" spans="1:6" ht="16" x14ac:dyDescent="0.2">
      <c r="A17" s="8" t="s">
        <v>407</v>
      </c>
      <c r="B17" s="8" t="s">
        <v>24</v>
      </c>
      <c r="C17" s="8" t="s">
        <v>374</v>
      </c>
      <c r="D17" s="8" t="s">
        <v>393</v>
      </c>
      <c r="E17" s="8" t="s">
        <v>375</v>
      </c>
      <c r="F17" s="8" t="s">
        <v>408</v>
      </c>
    </row>
    <row r="18" spans="1:6" ht="16" x14ac:dyDescent="0.2">
      <c r="A18" s="8" t="s">
        <v>409</v>
      </c>
      <c r="B18" s="8" t="s">
        <v>25</v>
      </c>
      <c r="C18" s="8" t="s">
        <v>374</v>
      </c>
      <c r="D18" s="8" t="s">
        <v>366</v>
      </c>
      <c r="E18" s="8" t="s">
        <v>410</v>
      </c>
      <c r="F18" s="8" t="s">
        <v>401</v>
      </c>
    </row>
    <row r="19" spans="1:6" ht="16" x14ac:dyDescent="0.2">
      <c r="A19" s="8" t="s">
        <v>411</v>
      </c>
      <c r="B19" s="8" t="s">
        <v>26</v>
      </c>
      <c r="C19" s="8" t="s">
        <v>412</v>
      </c>
      <c r="D19" s="8" t="s">
        <v>366</v>
      </c>
      <c r="E19" s="8" t="s">
        <v>413</v>
      </c>
      <c r="F19" s="8" t="s">
        <v>414</v>
      </c>
    </row>
    <row r="20" spans="1:6" ht="16" x14ac:dyDescent="0.2">
      <c r="A20" s="8" t="s">
        <v>415</v>
      </c>
      <c r="B20" s="8" t="s">
        <v>27</v>
      </c>
      <c r="C20" s="8" t="s">
        <v>370</v>
      </c>
      <c r="D20" s="8" t="s">
        <v>366</v>
      </c>
      <c r="E20" s="8" t="s">
        <v>416</v>
      </c>
      <c r="F20" s="8" t="s">
        <v>417</v>
      </c>
    </row>
    <row r="21" spans="1:6" ht="30" x14ac:dyDescent="0.2">
      <c r="A21" s="10" t="s">
        <v>418</v>
      </c>
      <c r="B21" s="10" t="s">
        <v>419</v>
      </c>
      <c r="C21" s="10" t="s">
        <v>412</v>
      </c>
      <c r="D21" s="10" t="s">
        <v>420</v>
      </c>
      <c r="E21" s="10" t="s">
        <v>413</v>
      </c>
      <c r="F21" s="10" t="s">
        <v>421</v>
      </c>
    </row>
    <row r="22" spans="1:6" x14ac:dyDescent="0.2">
      <c r="A22" s="10" t="s">
        <v>422</v>
      </c>
      <c r="B22" s="10" t="s">
        <v>423</v>
      </c>
      <c r="C22" s="10" t="s">
        <v>424</v>
      </c>
      <c r="D22" s="10" t="s">
        <v>420</v>
      </c>
      <c r="E22" s="10" t="s">
        <v>425</v>
      </c>
      <c r="F22" s="10" t="s">
        <v>426</v>
      </c>
    </row>
    <row r="24" spans="1:6" x14ac:dyDescent="0.2">
      <c r="A24" s="11" t="s">
        <v>427</v>
      </c>
    </row>
  </sheetData>
  <autoFilter ref="A1:F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5"/>
  <sheetViews>
    <sheetView showGridLines="0" tabSelected="1" zoomScale="109" zoomScaleNormal="116" workbookViewId="0">
      <pane ySplit="1" topLeftCell="A2" activePane="bottomLeft" state="frozen"/>
      <selection pane="bottomLeft" activeCell="M19" sqref="M19"/>
    </sheetView>
  </sheetViews>
  <sheetFormatPr baseColWidth="10" defaultColWidth="8.83203125" defaultRowHeight="15" x14ac:dyDescent="0.2"/>
  <cols>
    <col min="1" max="1" width="44.5" bestFit="1" customWidth="1"/>
    <col min="2" max="2" width="16.33203125" bestFit="1" customWidth="1"/>
    <col min="3" max="3" width="23" bestFit="1" customWidth="1"/>
    <col min="4" max="4" width="16.83203125" bestFit="1" customWidth="1"/>
    <col min="5" max="5" width="32.5" bestFit="1" customWidth="1"/>
    <col min="6" max="6" width="16.83203125" style="24" bestFit="1" customWidth="1"/>
    <col min="7" max="7" width="23" style="24" bestFit="1" customWidth="1"/>
    <col min="8" max="8" width="46.83203125" style="27" bestFit="1" customWidth="1"/>
    <col min="9" max="9" width="215.83203125" style="24" bestFit="1" customWidth="1"/>
    <col min="10" max="10" width="15.83203125" style="24" bestFit="1" customWidth="1"/>
    <col min="11" max="11" width="21.6640625" bestFit="1" customWidth="1"/>
    <col min="12" max="12" width="6.33203125" bestFit="1" customWidth="1"/>
  </cols>
  <sheetData>
    <row r="1" spans="1:12" x14ac:dyDescent="0.2">
      <c r="A1" s="9" t="s">
        <v>13</v>
      </c>
      <c r="B1" s="9" t="s">
        <v>12</v>
      </c>
      <c r="C1" s="9" t="s">
        <v>428</v>
      </c>
      <c r="D1" s="9" t="s">
        <v>15</v>
      </c>
      <c r="E1" s="9" t="s">
        <v>429</v>
      </c>
      <c r="F1" s="21" t="s">
        <v>21</v>
      </c>
      <c r="G1" s="21" t="s">
        <v>22</v>
      </c>
      <c r="H1" s="9" t="s">
        <v>430</v>
      </c>
      <c r="I1" s="21" t="s">
        <v>24</v>
      </c>
      <c r="J1" s="21" t="s">
        <v>25</v>
      </c>
      <c r="K1" s="9" t="s">
        <v>431</v>
      </c>
      <c r="L1" s="28" t="s">
        <v>433</v>
      </c>
    </row>
    <row r="2" spans="1:12" x14ac:dyDescent="0.2">
      <c r="A2" s="12" t="s">
        <v>32</v>
      </c>
      <c r="B2" s="12" t="s">
        <v>31</v>
      </c>
      <c r="C2" s="14">
        <v>46244</v>
      </c>
      <c r="D2" s="15">
        <v>0.96180555555555558</v>
      </c>
      <c r="E2" s="16" t="s">
        <v>35</v>
      </c>
      <c r="F2" s="22"/>
      <c r="G2" s="22"/>
      <c r="H2" s="26"/>
      <c r="I2" s="22" t="s">
        <v>36</v>
      </c>
      <c r="J2" s="22"/>
      <c r="K2" s="13">
        <f>COUNTBLANK(C2:J2)</f>
        <v>4</v>
      </c>
      <c r="L2" s="25"/>
    </row>
    <row r="3" spans="1:12" x14ac:dyDescent="0.2">
      <c r="A3" s="12" t="s">
        <v>40</v>
      </c>
      <c r="B3" s="12" t="s">
        <v>39</v>
      </c>
      <c r="C3" s="14">
        <v>46244</v>
      </c>
      <c r="D3" s="15">
        <v>0.97916666666666663</v>
      </c>
      <c r="E3" s="16" t="s">
        <v>43</v>
      </c>
      <c r="F3" s="22"/>
      <c r="G3" s="22"/>
      <c r="H3" s="26"/>
      <c r="I3" s="22" t="s">
        <v>45</v>
      </c>
      <c r="J3" s="22" t="s">
        <v>46</v>
      </c>
      <c r="K3" s="13">
        <f t="shared" ref="K3:K53" si="0">COUNTBLANK(C3:J3)</f>
        <v>3</v>
      </c>
      <c r="L3" s="25"/>
    </row>
    <row r="4" spans="1:12" x14ac:dyDescent="0.2">
      <c r="A4" s="12" t="s">
        <v>48</v>
      </c>
      <c r="B4" s="12" t="s">
        <v>31</v>
      </c>
      <c r="C4" s="14">
        <v>46245</v>
      </c>
      <c r="D4" s="15">
        <v>0.39583333333333331</v>
      </c>
      <c r="E4" s="16" t="s">
        <v>50</v>
      </c>
      <c r="F4" s="22"/>
      <c r="G4" s="22"/>
      <c r="H4" s="26"/>
      <c r="I4" s="22" t="s">
        <v>52</v>
      </c>
      <c r="J4" s="22" t="s">
        <v>53</v>
      </c>
      <c r="K4" s="13">
        <f t="shared" si="0"/>
        <v>3</v>
      </c>
      <c r="L4" s="25"/>
    </row>
    <row r="5" spans="1:12" x14ac:dyDescent="0.2">
      <c r="A5" s="12" t="s">
        <v>56</v>
      </c>
      <c r="B5" s="12" t="s">
        <v>55</v>
      </c>
      <c r="C5" s="14">
        <v>46245</v>
      </c>
      <c r="D5" s="15">
        <v>0.44791666666666669</v>
      </c>
      <c r="E5" s="16" t="s">
        <v>58</v>
      </c>
      <c r="F5" s="22"/>
      <c r="G5" s="22"/>
      <c r="H5" s="26" t="s">
        <v>60</v>
      </c>
      <c r="I5" s="22" t="s">
        <v>61</v>
      </c>
      <c r="J5" s="22" t="s">
        <v>62</v>
      </c>
      <c r="K5" s="13">
        <f t="shared" si="0"/>
        <v>2</v>
      </c>
      <c r="L5" s="25"/>
    </row>
    <row r="6" spans="1:12" x14ac:dyDescent="0.2">
      <c r="A6" s="12" t="s">
        <v>66</v>
      </c>
      <c r="B6" s="12" t="s">
        <v>65</v>
      </c>
      <c r="C6" s="14">
        <v>46245</v>
      </c>
      <c r="D6" s="15">
        <v>0.53819444444444442</v>
      </c>
      <c r="E6" s="16" t="s">
        <v>67</v>
      </c>
      <c r="F6" s="22" t="s">
        <v>69</v>
      </c>
      <c r="G6" s="22"/>
      <c r="H6" s="26" t="s">
        <v>70</v>
      </c>
      <c r="I6" s="22" t="s">
        <v>71</v>
      </c>
      <c r="J6" s="22" t="s">
        <v>72</v>
      </c>
      <c r="K6" s="13">
        <f t="shared" si="0"/>
        <v>1</v>
      </c>
      <c r="L6" s="25"/>
    </row>
    <row r="7" spans="1:12" x14ac:dyDescent="0.2">
      <c r="A7" s="12" t="s">
        <v>75</v>
      </c>
      <c r="B7" s="12" t="s">
        <v>74</v>
      </c>
      <c r="C7" s="14">
        <v>46245</v>
      </c>
      <c r="D7" s="15">
        <v>0.66319444444444442</v>
      </c>
      <c r="E7" s="16" t="s">
        <v>77</v>
      </c>
      <c r="F7" s="22"/>
      <c r="G7" s="22"/>
      <c r="H7" s="26"/>
      <c r="I7" s="22" t="s">
        <v>79</v>
      </c>
      <c r="J7" s="22"/>
      <c r="K7" s="13">
        <f t="shared" si="0"/>
        <v>4</v>
      </c>
      <c r="L7" s="25"/>
    </row>
    <row r="8" spans="1:12" x14ac:dyDescent="0.2">
      <c r="A8" s="12" t="s">
        <v>81</v>
      </c>
      <c r="B8" s="12" t="s">
        <v>55</v>
      </c>
      <c r="C8" s="14">
        <v>46245</v>
      </c>
      <c r="D8" s="15">
        <v>0.68055555555555558</v>
      </c>
      <c r="E8" s="16" t="s">
        <v>83</v>
      </c>
      <c r="F8" s="22"/>
      <c r="G8" s="22" t="s">
        <v>85</v>
      </c>
      <c r="H8" s="26" t="s">
        <v>86</v>
      </c>
      <c r="I8" s="22" t="s">
        <v>87</v>
      </c>
      <c r="J8" s="22"/>
      <c r="K8" s="13">
        <f t="shared" si="0"/>
        <v>2</v>
      </c>
      <c r="L8" s="25"/>
    </row>
    <row r="9" spans="1:12" x14ac:dyDescent="0.2">
      <c r="A9" s="12" t="s">
        <v>89</v>
      </c>
      <c r="B9" s="12" t="s">
        <v>39</v>
      </c>
      <c r="C9" s="14">
        <v>46245</v>
      </c>
      <c r="D9" s="15">
        <v>0.83680555555555558</v>
      </c>
      <c r="E9" s="16" t="s">
        <v>90</v>
      </c>
      <c r="F9" s="22"/>
      <c r="G9" s="22"/>
      <c r="H9" s="26"/>
      <c r="I9" s="22" t="s">
        <v>92</v>
      </c>
      <c r="J9" s="22" t="s">
        <v>93</v>
      </c>
      <c r="K9" s="13">
        <f t="shared" si="0"/>
        <v>3</v>
      </c>
      <c r="L9" s="25"/>
    </row>
    <row r="10" spans="1:12" x14ac:dyDescent="0.2">
      <c r="A10" s="12" t="s">
        <v>95</v>
      </c>
      <c r="B10" s="12" t="s">
        <v>65</v>
      </c>
      <c r="C10" s="14">
        <v>46245</v>
      </c>
      <c r="D10" s="15">
        <v>0.84375</v>
      </c>
      <c r="E10" s="16" t="s">
        <v>96</v>
      </c>
      <c r="F10" s="22"/>
      <c r="G10" s="22"/>
      <c r="H10" s="26" t="s">
        <v>98</v>
      </c>
      <c r="I10" s="22" t="s">
        <v>99</v>
      </c>
      <c r="J10" s="22" t="s">
        <v>100</v>
      </c>
      <c r="K10" s="13">
        <f t="shared" si="0"/>
        <v>2</v>
      </c>
      <c r="L10" s="25"/>
    </row>
    <row r="11" spans="1:12" x14ac:dyDescent="0.2">
      <c r="A11" s="12" t="s">
        <v>102</v>
      </c>
      <c r="B11" s="12" t="s">
        <v>55</v>
      </c>
      <c r="C11" s="14">
        <v>46245</v>
      </c>
      <c r="D11" s="15"/>
      <c r="E11" s="16" t="s">
        <v>104</v>
      </c>
      <c r="F11" s="22"/>
      <c r="G11" s="22"/>
      <c r="H11" s="26" t="s">
        <v>106</v>
      </c>
      <c r="I11" s="22" t="s">
        <v>107</v>
      </c>
      <c r="J11" s="22" t="s">
        <v>108</v>
      </c>
      <c r="K11" s="13">
        <f t="shared" si="0"/>
        <v>3</v>
      </c>
      <c r="L11" s="25"/>
    </row>
    <row r="12" spans="1:12" x14ac:dyDescent="0.2">
      <c r="A12" s="12" t="s">
        <v>111</v>
      </c>
      <c r="B12" s="12" t="s">
        <v>55</v>
      </c>
      <c r="C12" s="14">
        <v>46246</v>
      </c>
      <c r="D12" s="15">
        <v>0.41666666666666669</v>
      </c>
      <c r="E12" s="16" t="s">
        <v>112</v>
      </c>
      <c r="F12" s="22"/>
      <c r="G12" s="22" t="s">
        <v>114</v>
      </c>
      <c r="H12" s="26" t="s">
        <v>86</v>
      </c>
      <c r="I12" s="22" t="s">
        <v>115</v>
      </c>
      <c r="J12" s="22"/>
      <c r="K12" s="13">
        <f t="shared" si="0"/>
        <v>2</v>
      </c>
      <c r="L12" s="25"/>
    </row>
    <row r="13" spans="1:12" x14ac:dyDescent="0.2">
      <c r="A13" s="12" t="s">
        <v>117</v>
      </c>
      <c r="B13" s="12" t="s">
        <v>65</v>
      </c>
      <c r="C13" s="14">
        <v>46246</v>
      </c>
      <c r="D13" s="15">
        <v>0.5</v>
      </c>
      <c r="E13" s="16" t="s">
        <v>118</v>
      </c>
      <c r="F13" s="22"/>
      <c r="G13" s="22"/>
      <c r="H13" s="26" t="s">
        <v>120</v>
      </c>
      <c r="I13" s="22" t="s">
        <v>121</v>
      </c>
      <c r="J13" s="22" t="s">
        <v>122</v>
      </c>
      <c r="K13" s="13">
        <f t="shared" si="0"/>
        <v>2</v>
      </c>
      <c r="L13" s="25"/>
    </row>
    <row r="14" spans="1:12" x14ac:dyDescent="0.2">
      <c r="A14" s="12" t="s">
        <v>124</v>
      </c>
      <c r="B14" s="12" t="s">
        <v>55</v>
      </c>
      <c r="C14" s="14">
        <v>46246</v>
      </c>
      <c r="D14" s="15">
        <v>0.5625</v>
      </c>
      <c r="E14" s="16" t="s">
        <v>126</v>
      </c>
      <c r="F14" s="22"/>
      <c r="G14" s="22"/>
      <c r="H14" s="26" t="s">
        <v>86</v>
      </c>
      <c r="I14" s="22" t="s">
        <v>128</v>
      </c>
      <c r="J14" s="22"/>
      <c r="K14" s="13">
        <f t="shared" si="0"/>
        <v>3</v>
      </c>
      <c r="L14" s="25"/>
    </row>
    <row r="15" spans="1:12" x14ac:dyDescent="0.2">
      <c r="A15" s="12" t="s">
        <v>130</v>
      </c>
      <c r="B15" s="12" t="s">
        <v>55</v>
      </c>
      <c r="C15" s="14">
        <v>46246</v>
      </c>
      <c r="D15" s="15">
        <v>0.62152777777777779</v>
      </c>
      <c r="E15" s="16" t="s">
        <v>131</v>
      </c>
      <c r="F15" s="22"/>
      <c r="G15" s="22"/>
      <c r="H15" s="26"/>
      <c r="I15" s="22" t="s">
        <v>133</v>
      </c>
      <c r="J15" s="22"/>
      <c r="K15" s="13">
        <f t="shared" si="0"/>
        <v>4</v>
      </c>
      <c r="L15" s="25"/>
    </row>
    <row r="16" spans="1:12" x14ac:dyDescent="0.2">
      <c r="A16" s="12" t="s">
        <v>135</v>
      </c>
      <c r="B16" s="12" t="s">
        <v>65</v>
      </c>
      <c r="C16" s="14">
        <v>46246</v>
      </c>
      <c r="D16" s="15">
        <v>0.77083333333333337</v>
      </c>
      <c r="E16" s="16" t="s">
        <v>118</v>
      </c>
      <c r="F16" s="22"/>
      <c r="G16" s="22"/>
      <c r="H16" s="26" t="s">
        <v>120</v>
      </c>
      <c r="I16" s="22" t="s">
        <v>136</v>
      </c>
      <c r="J16" s="22" t="s">
        <v>122</v>
      </c>
      <c r="K16" s="13">
        <f t="shared" si="0"/>
        <v>2</v>
      </c>
      <c r="L16" s="25"/>
    </row>
    <row r="17" spans="1:12" x14ac:dyDescent="0.2">
      <c r="A17" s="12" t="s">
        <v>138</v>
      </c>
      <c r="B17" s="12" t="s">
        <v>39</v>
      </c>
      <c r="C17" s="14">
        <v>46246</v>
      </c>
      <c r="D17" s="15">
        <v>0.83333333333333337</v>
      </c>
      <c r="E17" s="16" t="s">
        <v>139</v>
      </c>
      <c r="F17" s="22"/>
      <c r="G17" s="22"/>
      <c r="H17" s="26"/>
      <c r="I17" s="22" t="s">
        <v>141</v>
      </c>
      <c r="J17" s="22" t="s">
        <v>142</v>
      </c>
      <c r="K17" s="13">
        <f t="shared" si="0"/>
        <v>3</v>
      </c>
      <c r="L17" s="25"/>
    </row>
    <row r="18" spans="1:12" x14ac:dyDescent="0.2">
      <c r="A18" s="12" t="s">
        <v>144</v>
      </c>
      <c r="B18" s="12" t="s">
        <v>65</v>
      </c>
      <c r="C18" s="14">
        <v>46246</v>
      </c>
      <c r="D18" s="15"/>
      <c r="E18" s="16" t="s">
        <v>145</v>
      </c>
      <c r="F18" s="22"/>
      <c r="G18" s="22"/>
      <c r="H18" s="26" t="s">
        <v>147</v>
      </c>
      <c r="I18" s="22" t="s">
        <v>148</v>
      </c>
      <c r="J18" s="22" t="s">
        <v>149</v>
      </c>
      <c r="K18" s="13">
        <f t="shared" si="0"/>
        <v>3</v>
      </c>
      <c r="L18" s="25" t="s">
        <v>63</v>
      </c>
    </row>
    <row r="19" spans="1:12" x14ac:dyDescent="0.2">
      <c r="A19" s="12" t="s">
        <v>151</v>
      </c>
      <c r="B19" s="12" t="s">
        <v>55</v>
      </c>
      <c r="C19" s="14">
        <v>46247</v>
      </c>
      <c r="D19" s="15">
        <v>0.34375</v>
      </c>
      <c r="E19" s="16" t="s">
        <v>152</v>
      </c>
      <c r="F19" s="22"/>
      <c r="G19" s="22"/>
      <c r="H19" s="26"/>
      <c r="I19" s="22" t="s">
        <v>154</v>
      </c>
      <c r="J19" s="22"/>
      <c r="K19" s="13">
        <f t="shared" si="0"/>
        <v>4</v>
      </c>
      <c r="L19" s="25"/>
    </row>
    <row r="20" spans="1:12" x14ac:dyDescent="0.2">
      <c r="A20" s="12" t="s">
        <v>156</v>
      </c>
      <c r="B20" s="12" t="s">
        <v>55</v>
      </c>
      <c r="C20" s="14">
        <v>46247</v>
      </c>
      <c r="D20" s="15">
        <v>0.36458333333333331</v>
      </c>
      <c r="E20" s="16" t="s">
        <v>157</v>
      </c>
      <c r="F20" s="22"/>
      <c r="G20" s="22"/>
      <c r="H20" s="26" t="s">
        <v>86</v>
      </c>
      <c r="I20" s="22" t="s">
        <v>159</v>
      </c>
      <c r="J20" s="22"/>
      <c r="K20" s="13">
        <f t="shared" si="0"/>
        <v>3</v>
      </c>
      <c r="L20" s="25"/>
    </row>
    <row r="21" spans="1:12" x14ac:dyDescent="0.2">
      <c r="A21" s="12" t="s">
        <v>161</v>
      </c>
      <c r="B21" s="12" t="s">
        <v>55</v>
      </c>
      <c r="C21" s="14">
        <v>46247</v>
      </c>
      <c r="D21" s="15">
        <v>0.40625</v>
      </c>
      <c r="E21" s="16" t="s">
        <v>162</v>
      </c>
      <c r="F21" s="22"/>
      <c r="G21" s="22"/>
      <c r="H21" s="26" t="s">
        <v>164</v>
      </c>
      <c r="I21" s="22" t="s">
        <v>165</v>
      </c>
      <c r="J21" s="22" t="s">
        <v>166</v>
      </c>
      <c r="K21" s="13">
        <f t="shared" si="0"/>
        <v>2</v>
      </c>
      <c r="L21" s="25"/>
    </row>
    <row r="22" spans="1:12" x14ac:dyDescent="0.2">
      <c r="A22" s="12" t="s">
        <v>168</v>
      </c>
      <c r="B22" s="12" t="s">
        <v>65</v>
      </c>
      <c r="C22" s="14">
        <v>46247</v>
      </c>
      <c r="D22" s="15">
        <v>0.5</v>
      </c>
      <c r="E22" s="16" t="s">
        <v>169</v>
      </c>
      <c r="F22" s="22"/>
      <c r="G22" s="22"/>
      <c r="H22" s="26" t="s">
        <v>171</v>
      </c>
      <c r="I22" s="22" t="s">
        <v>172</v>
      </c>
      <c r="J22" s="22" t="s">
        <v>173</v>
      </c>
      <c r="K22" s="13">
        <f t="shared" si="0"/>
        <v>2</v>
      </c>
      <c r="L22" s="25"/>
    </row>
    <row r="23" spans="1:12" x14ac:dyDescent="0.2">
      <c r="A23" s="12" t="s">
        <v>175</v>
      </c>
      <c r="B23" s="12" t="s">
        <v>55</v>
      </c>
      <c r="C23" s="14">
        <v>46247</v>
      </c>
      <c r="D23" s="15">
        <v>0.57291666666666663</v>
      </c>
      <c r="E23" s="16" t="s">
        <v>176</v>
      </c>
      <c r="F23" s="22"/>
      <c r="G23" s="22"/>
      <c r="H23" s="26" t="s">
        <v>86</v>
      </c>
      <c r="I23" s="22" t="s">
        <v>178</v>
      </c>
      <c r="J23" s="22"/>
      <c r="K23" s="13">
        <f t="shared" si="0"/>
        <v>3</v>
      </c>
      <c r="L23" s="25"/>
    </row>
    <row r="24" spans="1:12" x14ac:dyDescent="0.2">
      <c r="A24" s="12" t="s">
        <v>180</v>
      </c>
      <c r="B24" s="12" t="s">
        <v>55</v>
      </c>
      <c r="C24" s="14">
        <v>46247</v>
      </c>
      <c r="D24" s="15">
        <v>0.67708333333333337</v>
      </c>
      <c r="E24" s="16" t="s">
        <v>181</v>
      </c>
      <c r="F24" s="22"/>
      <c r="G24" s="22"/>
      <c r="H24" s="26" t="s">
        <v>86</v>
      </c>
      <c r="I24" s="22" t="s">
        <v>183</v>
      </c>
      <c r="J24" s="22"/>
      <c r="K24" s="13">
        <f t="shared" si="0"/>
        <v>3</v>
      </c>
      <c r="L24" s="25"/>
    </row>
    <row r="25" spans="1:12" x14ac:dyDescent="0.2">
      <c r="A25" s="12" t="s">
        <v>185</v>
      </c>
      <c r="B25" s="12" t="s">
        <v>74</v>
      </c>
      <c r="C25" s="14">
        <v>46247</v>
      </c>
      <c r="D25" s="15">
        <v>0.74652777777777779</v>
      </c>
      <c r="E25" s="16" t="s">
        <v>186</v>
      </c>
      <c r="F25" s="22"/>
      <c r="G25" s="22"/>
      <c r="H25" s="26"/>
      <c r="I25" s="22" t="s">
        <v>188</v>
      </c>
      <c r="J25" s="22"/>
      <c r="K25" s="13">
        <f t="shared" si="0"/>
        <v>4</v>
      </c>
      <c r="L25" s="25"/>
    </row>
    <row r="26" spans="1:12" x14ac:dyDescent="0.2">
      <c r="A26" s="12" t="s">
        <v>190</v>
      </c>
      <c r="B26" s="12" t="s">
        <v>65</v>
      </c>
      <c r="C26" s="14">
        <v>46247</v>
      </c>
      <c r="D26" s="15">
        <v>0.75</v>
      </c>
      <c r="E26" s="16" t="s">
        <v>192</v>
      </c>
      <c r="F26" s="22"/>
      <c r="G26" s="22" t="s">
        <v>194</v>
      </c>
      <c r="H26" s="26" t="s">
        <v>195</v>
      </c>
      <c r="I26" s="22" t="s">
        <v>196</v>
      </c>
      <c r="J26" s="22"/>
      <c r="K26" s="13">
        <f t="shared" si="0"/>
        <v>2</v>
      </c>
      <c r="L26" s="25"/>
    </row>
    <row r="27" spans="1:12" x14ac:dyDescent="0.2">
      <c r="A27" s="12" t="s">
        <v>198</v>
      </c>
      <c r="B27" s="12" t="s">
        <v>39</v>
      </c>
      <c r="C27" s="14">
        <v>46247</v>
      </c>
      <c r="D27" s="15">
        <v>0.93402777777777779</v>
      </c>
      <c r="E27" s="16" t="s">
        <v>200</v>
      </c>
      <c r="F27" s="22"/>
      <c r="G27" s="22"/>
      <c r="H27" s="26"/>
      <c r="I27" s="22" t="s">
        <v>202</v>
      </c>
      <c r="J27" s="22"/>
      <c r="K27" s="13">
        <f t="shared" si="0"/>
        <v>4</v>
      </c>
      <c r="L27" s="25"/>
    </row>
    <row r="28" spans="1:12" x14ac:dyDescent="0.2">
      <c r="A28" s="12" t="s">
        <v>204</v>
      </c>
      <c r="B28" s="12" t="s">
        <v>55</v>
      </c>
      <c r="C28" s="14">
        <v>46247</v>
      </c>
      <c r="D28" s="15"/>
      <c r="E28" s="16" t="s">
        <v>205</v>
      </c>
      <c r="F28" s="22"/>
      <c r="G28" s="22"/>
      <c r="H28" s="26"/>
      <c r="I28" s="22" t="s">
        <v>207</v>
      </c>
      <c r="J28" s="22"/>
      <c r="K28" s="13">
        <f t="shared" si="0"/>
        <v>5</v>
      </c>
      <c r="L28" s="25"/>
    </row>
    <row r="29" spans="1:12" x14ac:dyDescent="0.2">
      <c r="A29" s="12" t="s">
        <v>209</v>
      </c>
      <c r="B29" s="12" t="s">
        <v>55</v>
      </c>
      <c r="C29" s="14">
        <v>46248</v>
      </c>
      <c r="D29" s="15">
        <v>0.37847222222222221</v>
      </c>
      <c r="E29" s="16" t="s">
        <v>211</v>
      </c>
      <c r="F29" s="22"/>
      <c r="G29" s="22" t="s">
        <v>213</v>
      </c>
      <c r="H29" s="26" t="s">
        <v>86</v>
      </c>
      <c r="I29" s="22" t="s">
        <v>214</v>
      </c>
      <c r="J29" s="22"/>
      <c r="K29" s="13">
        <f t="shared" si="0"/>
        <v>2</v>
      </c>
      <c r="L29" s="25"/>
    </row>
    <row r="30" spans="1:12" x14ac:dyDescent="0.2">
      <c r="A30" s="12" t="s">
        <v>216</v>
      </c>
      <c r="B30" s="12" t="s">
        <v>74</v>
      </c>
      <c r="C30" s="14">
        <v>46248</v>
      </c>
      <c r="D30" s="15">
        <v>0.47569444444444442</v>
      </c>
      <c r="E30" s="16" t="s">
        <v>217</v>
      </c>
      <c r="F30" s="22"/>
      <c r="G30" s="22"/>
      <c r="H30" s="26"/>
      <c r="I30" s="22" t="s">
        <v>219</v>
      </c>
      <c r="J30" s="22"/>
      <c r="K30" s="13">
        <f t="shared" si="0"/>
        <v>4</v>
      </c>
      <c r="L30" s="25"/>
    </row>
    <row r="31" spans="1:12" x14ac:dyDescent="0.2">
      <c r="A31" s="12" t="s">
        <v>222</v>
      </c>
      <c r="B31" s="12" t="s">
        <v>65</v>
      </c>
      <c r="C31" s="14">
        <v>46248</v>
      </c>
      <c r="D31" s="15">
        <v>0.52083333333333337</v>
      </c>
      <c r="E31" s="16" t="s">
        <v>223</v>
      </c>
      <c r="F31" s="22"/>
      <c r="G31" s="22"/>
      <c r="H31" s="26" t="s">
        <v>225</v>
      </c>
      <c r="I31" s="22" t="s">
        <v>226</v>
      </c>
      <c r="J31" s="22" t="s">
        <v>227</v>
      </c>
      <c r="K31" s="13">
        <f t="shared" si="0"/>
        <v>2</v>
      </c>
      <c r="L31" s="25"/>
    </row>
    <row r="32" spans="1:12" x14ac:dyDescent="0.2">
      <c r="A32" s="12" t="s">
        <v>229</v>
      </c>
      <c r="B32" s="12" t="s">
        <v>55</v>
      </c>
      <c r="C32" s="14">
        <v>46248</v>
      </c>
      <c r="D32" s="15">
        <v>0.58680555555555558</v>
      </c>
      <c r="E32" s="16" t="s">
        <v>230</v>
      </c>
      <c r="F32" s="22"/>
      <c r="G32" s="22" t="s">
        <v>232</v>
      </c>
      <c r="H32" s="26"/>
      <c r="I32" s="22" t="s">
        <v>233</v>
      </c>
      <c r="J32" s="22"/>
      <c r="K32" s="13">
        <f t="shared" si="0"/>
        <v>3</v>
      </c>
      <c r="L32" s="25"/>
    </row>
    <row r="33" spans="1:12" x14ac:dyDescent="0.2">
      <c r="A33" s="12" t="s">
        <v>235</v>
      </c>
      <c r="B33" s="12" t="s">
        <v>55</v>
      </c>
      <c r="C33" s="14">
        <v>46248</v>
      </c>
      <c r="D33" s="15">
        <v>0.66666666666666663</v>
      </c>
      <c r="E33" s="16" t="s">
        <v>236</v>
      </c>
      <c r="F33" s="22"/>
      <c r="G33" s="22"/>
      <c r="H33" s="26" t="s">
        <v>164</v>
      </c>
      <c r="I33" s="22" t="s">
        <v>238</v>
      </c>
      <c r="J33" s="22" t="s">
        <v>239</v>
      </c>
      <c r="K33" s="13">
        <f t="shared" si="0"/>
        <v>2</v>
      </c>
      <c r="L33" s="25"/>
    </row>
    <row r="34" spans="1:12" x14ac:dyDescent="0.2">
      <c r="A34" s="12" t="s">
        <v>241</v>
      </c>
      <c r="B34" s="12" t="s">
        <v>65</v>
      </c>
      <c r="C34" s="14">
        <v>46248</v>
      </c>
      <c r="D34" s="15">
        <v>0.75</v>
      </c>
      <c r="E34" s="16" t="s">
        <v>242</v>
      </c>
      <c r="F34" s="22"/>
      <c r="G34" s="22"/>
      <c r="H34" s="26" t="s">
        <v>244</v>
      </c>
      <c r="I34" s="22" t="s">
        <v>245</v>
      </c>
      <c r="J34" s="22" t="s">
        <v>246</v>
      </c>
      <c r="K34" s="13">
        <f t="shared" si="0"/>
        <v>2</v>
      </c>
      <c r="L34" s="25"/>
    </row>
    <row r="35" spans="1:12" x14ac:dyDescent="0.2">
      <c r="A35" s="12" t="s">
        <v>248</v>
      </c>
      <c r="B35" s="12" t="s">
        <v>55</v>
      </c>
      <c r="C35" s="14">
        <v>46248</v>
      </c>
      <c r="D35" s="15">
        <v>0.82291666666666663</v>
      </c>
      <c r="E35" s="16" t="s">
        <v>250</v>
      </c>
      <c r="F35" s="22"/>
      <c r="G35" s="22"/>
      <c r="H35" s="26"/>
      <c r="I35" s="22" t="s">
        <v>252</v>
      </c>
      <c r="J35" s="22"/>
      <c r="K35" s="13">
        <f t="shared" si="0"/>
        <v>4</v>
      </c>
      <c r="L35" s="25"/>
    </row>
    <row r="36" spans="1:12" x14ac:dyDescent="0.2">
      <c r="A36" s="12" t="s">
        <v>254</v>
      </c>
      <c r="B36" s="12" t="s">
        <v>55</v>
      </c>
      <c r="C36" s="14">
        <v>46248</v>
      </c>
      <c r="D36" s="15"/>
      <c r="E36" s="16" t="s">
        <v>255</v>
      </c>
      <c r="F36" s="22"/>
      <c r="G36" s="22"/>
      <c r="H36" s="26"/>
      <c r="I36" s="22" t="s">
        <v>257</v>
      </c>
      <c r="J36" s="22"/>
      <c r="K36" s="13">
        <f t="shared" si="0"/>
        <v>5</v>
      </c>
      <c r="L36" s="25"/>
    </row>
    <row r="37" spans="1:12" x14ac:dyDescent="0.2">
      <c r="A37" s="12" t="s">
        <v>259</v>
      </c>
      <c r="B37" s="12" t="s">
        <v>55</v>
      </c>
      <c r="C37" s="14">
        <v>46248</v>
      </c>
      <c r="D37" s="15"/>
      <c r="E37" s="16" t="s">
        <v>260</v>
      </c>
      <c r="F37" s="22"/>
      <c r="G37" s="22"/>
      <c r="H37" s="26"/>
      <c r="I37" s="22" t="s">
        <v>262</v>
      </c>
      <c r="J37" s="22"/>
      <c r="K37" s="13">
        <f t="shared" si="0"/>
        <v>5</v>
      </c>
      <c r="L37" s="25"/>
    </row>
    <row r="38" spans="1:12" x14ac:dyDescent="0.2">
      <c r="A38" s="12" t="s">
        <v>264</v>
      </c>
      <c r="B38" s="12" t="s">
        <v>55</v>
      </c>
      <c r="C38" s="14">
        <v>46248</v>
      </c>
      <c r="D38" s="15"/>
      <c r="E38" s="16" t="s">
        <v>265</v>
      </c>
      <c r="F38" s="22"/>
      <c r="G38" s="22"/>
      <c r="H38" s="26" t="s">
        <v>267</v>
      </c>
      <c r="I38" s="22" t="s">
        <v>268</v>
      </c>
      <c r="J38" s="22" t="s">
        <v>269</v>
      </c>
      <c r="K38" s="13">
        <f t="shared" si="0"/>
        <v>3</v>
      </c>
      <c r="L38" s="25"/>
    </row>
    <row r="39" spans="1:12" x14ac:dyDescent="0.2">
      <c r="A39" s="12" t="s">
        <v>271</v>
      </c>
      <c r="B39" s="12" t="s">
        <v>55</v>
      </c>
      <c r="C39" s="14">
        <v>46248</v>
      </c>
      <c r="D39" s="15"/>
      <c r="E39" s="16" t="s">
        <v>272</v>
      </c>
      <c r="F39" s="22"/>
      <c r="G39" s="22"/>
      <c r="H39" s="26"/>
      <c r="I39" s="22" t="s">
        <v>274</v>
      </c>
      <c r="J39" s="22"/>
      <c r="K39" s="13">
        <f t="shared" si="0"/>
        <v>5</v>
      </c>
      <c r="L39" s="25"/>
    </row>
    <row r="40" spans="1:12" x14ac:dyDescent="0.2">
      <c r="A40" s="12" t="s">
        <v>276</v>
      </c>
      <c r="B40" s="12" t="s">
        <v>55</v>
      </c>
      <c r="C40" s="14">
        <v>46249</v>
      </c>
      <c r="D40" s="15">
        <v>0.41666666666666669</v>
      </c>
      <c r="E40" s="16" t="s">
        <v>277</v>
      </c>
      <c r="F40" s="22"/>
      <c r="G40" s="22"/>
      <c r="H40" s="26" t="s">
        <v>279</v>
      </c>
      <c r="I40" s="22" t="s">
        <v>280</v>
      </c>
      <c r="J40" s="22" t="s">
        <v>281</v>
      </c>
      <c r="K40" s="13">
        <f t="shared" si="0"/>
        <v>2</v>
      </c>
      <c r="L40" s="25"/>
    </row>
    <row r="41" spans="1:12" x14ac:dyDescent="0.2">
      <c r="A41" s="12" t="s">
        <v>283</v>
      </c>
      <c r="B41" s="12" t="s">
        <v>74</v>
      </c>
      <c r="C41" s="14">
        <v>46249</v>
      </c>
      <c r="D41" s="15">
        <v>0.53819444444444442</v>
      </c>
      <c r="E41" s="16" t="s">
        <v>284</v>
      </c>
      <c r="F41" s="22"/>
      <c r="G41" s="22"/>
      <c r="H41" s="26"/>
      <c r="I41" s="22" t="s">
        <v>286</v>
      </c>
      <c r="J41" s="22"/>
      <c r="K41" s="13">
        <f t="shared" si="0"/>
        <v>4</v>
      </c>
      <c r="L41" s="25"/>
    </row>
    <row r="42" spans="1:12" x14ac:dyDescent="0.2">
      <c r="A42" s="12" t="s">
        <v>288</v>
      </c>
      <c r="B42" s="12" t="s">
        <v>65</v>
      </c>
      <c r="C42" s="14">
        <v>46249</v>
      </c>
      <c r="D42" s="15">
        <v>0.54166666666666663</v>
      </c>
      <c r="E42" s="16" t="s">
        <v>289</v>
      </c>
      <c r="F42" s="22"/>
      <c r="G42" s="22"/>
      <c r="H42" s="26" t="s">
        <v>291</v>
      </c>
      <c r="I42" s="22" t="s">
        <v>292</v>
      </c>
      <c r="J42" s="22" t="s">
        <v>293</v>
      </c>
      <c r="K42" s="13">
        <f t="shared" si="0"/>
        <v>2</v>
      </c>
      <c r="L42" s="25"/>
    </row>
    <row r="43" spans="1:12" x14ac:dyDescent="0.2">
      <c r="A43" s="12" t="s">
        <v>295</v>
      </c>
      <c r="B43" s="12" t="s">
        <v>55</v>
      </c>
      <c r="C43" s="14">
        <v>46249</v>
      </c>
      <c r="D43" s="15">
        <v>0.60763888888888884</v>
      </c>
      <c r="E43" s="16" t="s">
        <v>296</v>
      </c>
      <c r="F43" s="22"/>
      <c r="G43" s="22"/>
      <c r="H43" s="26"/>
      <c r="I43" s="22" t="s">
        <v>298</v>
      </c>
      <c r="J43" s="22"/>
      <c r="K43" s="13">
        <f t="shared" si="0"/>
        <v>4</v>
      </c>
      <c r="L43" s="25"/>
    </row>
    <row r="44" spans="1:12" x14ac:dyDescent="0.2">
      <c r="A44" s="12" t="s">
        <v>300</v>
      </c>
      <c r="B44" s="12" t="s">
        <v>31</v>
      </c>
      <c r="C44" s="14">
        <v>46249</v>
      </c>
      <c r="D44" s="15">
        <v>0.83333333333333337</v>
      </c>
      <c r="E44" s="16" t="s">
        <v>50</v>
      </c>
      <c r="F44" s="22"/>
      <c r="G44" s="22"/>
      <c r="H44" s="26"/>
      <c r="I44" s="22" t="s">
        <v>301</v>
      </c>
      <c r="J44" s="22" t="s">
        <v>53</v>
      </c>
      <c r="K44" s="13">
        <f t="shared" si="0"/>
        <v>3</v>
      </c>
      <c r="L44" s="25"/>
    </row>
    <row r="45" spans="1:12" x14ac:dyDescent="0.2">
      <c r="A45" s="12" t="s">
        <v>303</v>
      </c>
      <c r="B45" s="12" t="s">
        <v>39</v>
      </c>
      <c r="C45" s="14">
        <v>46249</v>
      </c>
      <c r="D45" s="15">
        <v>0.86458333333333337</v>
      </c>
      <c r="E45" s="16" t="s">
        <v>43</v>
      </c>
      <c r="F45" s="22"/>
      <c r="G45" s="22"/>
      <c r="H45" s="26"/>
      <c r="I45" s="22" t="s">
        <v>45</v>
      </c>
      <c r="J45" s="22" t="s">
        <v>46</v>
      </c>
      <c r="K45" s="13">
        <f t="shared" si="0"/>
        <v>3</v>
      </c>
      <c r="L45" s="25"/>
    </row>
    <row r="46" spans="1:12" x14ac:dyDescent="0.2">
      <c r="A46" s="12" t="s">
        <v>306</v>
      </c>
      <c r="B46" s="12" t="s">
        <v>65</v>
      </c>
      <c r="C46" s="14">
        <v>46249</v>
      </c>
      <c r="D46" s="15">
        <v>0.86458333333333337</v>
      </c>
      <c r="E46" s="16" t="s">
        <v>307</v>
      </c>
      <c r="F46" s="22"/>
      <c r="G46" s="22"/>
      <c r="H46" s="26" t="s">
        <v>308</v>
      </c>
      <c r="I46" s="22" t="s">
        <v>309</v>
      </c>
      <c r="J46" s="22"/>
      <c r="K46" s="13">
        <f t="shared" si="0"/>
        <v>3</v>
      </c>
      <c r="L46" s="25"/>
    </row>
    <row r="47" spans="1:12" x14ac:dyDescent="0.2">
      <c r="A47" s="12" t="s">
        <v>311</v>
      </c>
      <c r="B47" s="12" t="s">
        <v>31</v>
      </c>
      <c r="C47" s="14">
        <v>46250</v>
      </c>
      <c r="D47" s="15"/>
      <c r="E47" s="16" t="s">
        <v>35</v>
      </c>
      <c r="F47" s="22"/>
      <c r="G47" s="22"/>
      <c r="H47" s="26"/>
      <c r="I47" s="22" t="s">
        <v>313</v>
      </c>
      <c r="J47" s="22"/>
      <c r="K47" s="13">
        <f t="shared" si="0"/>
        <v>5</v>
      </c>
      <c r="L47" s="25"/>
    </row>
    <row r="48" spans="1:12" x14ac:dyDescent="0.2">
      <c r="A48" s="12" t="s">
        <v>315</v>
      </c>
      <c r="B48" s="12" t="s">
        <v>31</v>
      </c>
      <c r="C48" s="14"/>
      <c r="D48" s="15"/>
      <c r="E48" s="16" t="s">
        <v>35</v>
      </c>
      <c r="F48" s="22"/>
      <c r="G48" s="22"/>
      <c r="H48" s="26"/>
      <c r="I48" s="22" t="s">
        <v>317</v>
      </c>
      <c r="J48" s="22" t="s">
        <v>318</v>
      </c>
      <c r="K48" s="13">
        <f t="shared" si="0"/>
        <v>5</v>
      </c>
      <c r="L48" s="25"/>
    </row>
    <row r="49" spans="1:12" x14ac:dyDescent="0.2">
      <c r="A49" s="12" t="s">
        <v>320</v>
      </c>
      <c r="B49" s="12" t="s">
        <v>74</v>
      </c>
      <c r="C49" s="14"/>
      <c r="D49" s="15"/>
      <c r="E49" s="16" t="s">
        <v>321</v>
      </c>
      <c r="F49" s="22"/>
      <c r="G49" s="22"/>
      <c r="H49" s="26"/>
      <c r="I49" s="22" t="s">
        <v>323</v>
      </c>
      <c r="J49" s="22"/>
      <c r="K49" s="13">
        <f t="shared" si="0"/>
        <v>6</v>
      </c>
      <c r="L49" s="25"/>
    </row>
    <row r="50" spans="1:12" x14ac:dyDescent="0.2">
      <c r="A50" s="12" t="s">
        <v>325</v>
      </c>
      <c r="B50" s="12" t="s">
        <v>39</v>
      </c>
      <c r="C50" s="14"/>
      <c r="D50" s="15"/>
      <c r="E50" s="16" t="s">
        <v>326</v>
      </c>
      <c r="F50" s="22"/>
      <c r="G50" s="22"/>
      <c r="H50" s="26"/>
      <c r="I50" s="22" t="s">
        <v>328</v>
      </c>
      <c r="J50" s="22" t="s">
        <v>329</v>
      </c>
      <c r="K50" s="13">
        <f t="shared" si="0"/>
        <v>5</v>
      </c>
      <c r="L50" s="25"/>
    </row>
    <row r="51" spans="1:12" x14ac:dyDescent="0.2">
      <c r="A51" s="12" t="s">
        <v>331</v>
      </c>
      <c r="B51" s="12" t="s">
        <v>55</v>
      </c>
      <c r="C51" s="14"/>
      <c r="D51" s="15"/>
      <c r="E51" s="16" t="s">
        <v>332</v>
      </c>
      <c r="F51" s="22"/>
      <c r="G51" s="22" t="s">
        <v>334</v>
      </c>
      <c r="H51" s="26" t="s">
        <v>335</v>
      </c>
      <c r="I51" s="22" t="s">
        <v>336</v>
      </c>
      <c r="J51" s="22" t="s">
        <v>337</v>
      </c>
      <c r="K51" s="13">
        <f t="shared" si="0"/>
        <v>3</v>
      </c>
      <c r="L51" s="25"/>
    </row>
    <row r="52" spans="1:12" x14ac:dyDescent="0.2">
      <c r="A52" s="12" t="s">
        <v>339</v>
      </c>
      <c r="B52" s="12" t="s">
        <v>55</v>
      </c>
      <c r="C52" s="14"/>
      <c r="D52" s="15"/>
      <c r="E52" s="16" t="s">
        <v>340</v>
      </c>
      <c r="F52" s="22"/>
      <c r="G52" s="22"/>
      <c r="H52" s="26" t="s">
        <v>86</v>
      </c>
      <c r="I52" s="22" t="s">
        <v>342</v>
      </c>
      <c r="J52" s="22"/>
      <c r="K52" s="13">
        <f t="shared" si="0"/>
        <v>5</v>
      </c>
      <c r="L52" s="25"/>
    </row>
    <row r="53" spans="1:12" x14ac:dyDescent="0.2">
      <c r="A53" s="12" t="s">
        <v>344</v>
      </c>
      <c r="B53" s="12" t="s">
        <v>55</v>
      </c>
      <c r="C53" s="14"/>
      <c r="D53" s="15"/>
      <c r="E53" s="16" t="s">
        <v>345</v>
      </c>
      <c r="F53" s="22"/>
      <c r="G53" s="22"/>
      <c r="H53" s="26" t="s">
        <v>86</v>
      </c>
      <c r="I53" s="22" t="s">
        <v>347</v>
      </c>
      <c r="J53" s="22"/>
      <c r="K53" s="13">
        <f t="shared" si="0"/>
        <v>5</v>
      </c>
      <c r="L53" s="25"/>
    </row>
    <row r="55" spans="1:12" ht="45" x14ac:dyDescent="0.2">
      <c r="A55" s="19" t="s">
        <v>435</v>
      </c>
      <c r="B55" s="20"/>
      <c r="C55" s="20"/>
      <c r="D55" s="20"/>
      <c r="E55" s="20"/>
      <c r="F55" s="23"/>
      <c r="G55" s="23"/>
      <c r="H55" s="20"/>
      <c r="I55" s="23"/>
      <c r="J55" s="23"/>
      <c r="K55" s="20"/>
      <c r="L55" s="20"/>
    </row>
  </sheetData>
  <autoFilter ref="A1:K53" xr:uid="{00000000-0009-0000-0000-000003000000}"/>
  <conditionalFormatting sqref="C2:J53">
    <cfRule type="expression" dxfId="2" priority="1">
      <formula>C2=""</formula>
    </cfRule>
  </conditionalFormatting>
  <conditionalFormatting sqref="C2:J53">
    <cfRule type="expression" dxfId="1" priority="2">
      <formula>C2&lt;&gt;""</formula>
    </cfRule>
  </conditionalFormatting>
  <conditionalFormatting sqref="L2:L53">
    <cfRule type="expression" dxfId="0" priority="3">
      <formula>L2="SI"</formula>
    </cfRule>
  </conditionalFormatting>
  <dataValidations count="2">
    <dataValidation type="list" allowBlank="1" showInputMessage="1" showErrorMessage="1" sqref="C2:C53" xr:uid="{A07A07C4-5C32-634F-840F-1309EE7A5614}">
      <formula1>"2026-08-10,2026-08-11,2026-08-12,2026-08-13,2026-08-14,2026-08-15,2026-08-16"</formula1>
    </dataValidation>
    <dataValidation type="list" allowBlank="1" showInputMessage="1" showErrorMessage="1" errorTitle="Valore non valido" error="Seleziona SI per spostare l'evento nel Trash oppure lascia vuoto." sqref="L2:L53" xr:uid="{94A594B7-278D-E04D-A05C-4C646E56440F}">
      <formula1>"SI"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CFA6-45CB-DD41-AE5C-6CC414ECCCA8}">
  <dimension ref="A1:AU53"/>
  <sheetViews>
    <sheetView workbookViewId="0">
      <selection activeCell="C6" sqref="C6"/>
    </sheetView>
  </sheetViews>
  <sheetFormatPr baseColWidth="10" defaultRowHeight="15" x14ac:dyDescent="0.2"/>
  <cols>
    <col min="1" max="1" width="20.6640625" bestFit="1" customWidth="1"/>
    <col min="2" max="2" width="6.5" bestFit="1" customWidth="1"/>
    <col min="3" max="3" width="8.5" bestFit="1" customWidth="1"/>
    <col min="4" max="4" width="35" customWidth="1"/>
    <col min="5" max="5" width="9.83203125" bestFit="1" customWidth="1"/>
    <col min="6" max="6" width="8.33203125" bestFit="1" customWidth="1"/>
    <col min="7" max="7" width="15.5" bestFit="1" customWidth="1"/>
    <col min="8" max="8" width="7.1640625" bestFit="1" customWidth="1"/>
    <col min="9" max="9" width="14.33203125" bestFit="1" customWidth="1"/>
    <col min="10" max="10" width="17.83203125" bestFit="1" customWidth="1"/>
    <col min="11" max="11" width="14.6640625" bestFit="1" customWidth="1"/>
    <col min="12" max="12" width="7.83203125" bestFit="1" customWidth="1"/>
    <col min="13" max="13" width="6.1640625" bestFit="1" customWidth="1"/>
    <col min="14" max="14" width="13.83203125" bestFit="1" customWidth="1"/>
    <col min="15" max="15" width="33.33203125" style="20" customWidth="1"/>
    <col min="16" max="16" width="8" bestFit="1" customWidth="1"/>
    <col min="17" max="17" width="16" bestFit="1" customWidth="1"/>
    <col min="18" max="18" width="6.83203125" bestFit="1" customWidth="1"/>
    <col min="19" max="19" width="19.83203125" bestFit="1" customWidth="1"/>
    <col min="20" max="20" width="27.6640625" bestFit="1" customWidth="1"/>
    <col min="21" max="21" width="8.5" bestFit="1" customWidth="1"/>
  </cols>
  <sheetData>
    <row r="1" spans="1:47" ht="16" x14ac:dyDescent="0.2">
      <c r="A1" s="29" t="s">
        <v>10</v>
      </c>
      <c r="B1" s="29" t="s">
        <v>11</v>
      </c>
      <c r="C1" s="29" t="s">
        <v>12</v>
      </c>
      <c r="D1" s="29" t="s">
        <v>13</v>
      </c>
      <c r="E1" s="29" t="s">
        <v>14</v>
      </c>
      <c r="F1" s="29" t="s">
        <v>15</v>
      </c>
      <c r="G1" s="29" t="s">
        <v>16</v>
      </c>
      <c r="H1" s="29" t="s">
        <v>17</v>
      </c>
      <c r="I1" s="29" t="s">
        <v>18</v>
      </c>
      <c r="J1" s="29" t="s">
        <v>19</v>
      </c>
      <c r="K1" s="29" t="s">
        <v>20</v>
      </c>
      <c r="L1" s="29" t="s">
        <v>21</v>
      </c>
      <c r="M1" s="29" t="s">
        <v>22</v>
      </c>
      <c r="N1" s="29" t="s">
        <v>23</v>
      </c>
      <c r="O1" s="33" t="s">
        <v>24</v>
      </c>
      <c r="P1" s="29" t="s">
        <v>25</v>
      </c>
      <c r="Q1" s="29" t="s">
        <v>26</v>
      </c>
      <c r="R1" s="29" t="s">
        <v>27</v>
      </c>
      <c r="S1" s="29" t="s">
        <v>28</v>
      </c>
      <c r="T1" s="29" t="s">
        <v>29</v>
      </c>
      <c r="U1" s="29" t="s">
        <v>434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434</v>
      </c>
    </row>
    <row r="2" spans="1:47" x14ac:dyDescent="0.2">
      <c r="A2" t="str" cm="1">
        <f t="array" ref="A2:U2">_xlfn._xlws.FILTER(AA2:AU53,AU2:AU53="SI","Nessun evento nel cestino")</f>
        <v>764e75ff-176c-44fe-8993-32e141724da9</v>
      </c>
      <c r="B2" s="31">
        <v>46246</v>
      </c>
      <c r="C2" t="str">
        <v>Relax</v>
      </c>
      <c r="D2" t="str">
        <v>Annie's Bakery</v>
      </c>
      <c r="E2" t="str">
        <v>Facoltativo</v>
      </c>
      <c r="F2" s="32" t="str">
        <v/>
      </c>
      <c r="G2">
        <v>0</v>
      </c>
      <c r="H2" s="32">
        <v>0</v>
      </c>
      <c r="I2">
        <v>0</v>
      </c>
      <c r="J2" t="str">
        <v>ChIJjf21ygDXmkgRXbCWDg3cStM</v>
      </c>
      <c r="K2" t="str">
        <v>https://www.google.com/maps/place/?q=place_id:ChIJjf21ygDXmkgRXbCWDg3cStM</v>
      </c>
      <c r="L2" t="str">
        <v/>
      </c>
      <c r="M2" t="str">
        <v/>
      </c>
      <c r="N2" t="str">
        <v>Mer/Gio/Ven/Dom 10:00-14:00 (chiuso Lun/Mar/Sab)</v>
      </c>
      <c r="O2" s="20" t="str">
        <v>Panetteria vicino John o' Groats. NON compatibile con l'orario pranzo/cena: chiude alle 14:00 il mercoledi, troppo presto per il programma della giornata.</v>
      </c>
      <c r="P2" t="str">
        <v>+44 1955 611497</v>
      </c>
      <c r="Q2" t="str">
        <v>NO</v>
      </c>
      <c r="R2" t="str">
        <v>Bassa</v>
      </c>
      <c r="S2" t="str">
        <v>NO</v>
      </c>
      <c r="T2">
        <v>0</v>
      </c>
      <c r="U2" t="str">
        <v>SI</v>
      </c>
      <c r="AA2" t="s">
        <v>30</v>
      </c>
      <c r="AB2">
        <f>IF('Cosa manca'!C2="","",'Cosa manca'!C2)</f>
        <v>46244</v>
      </c>
      <c r="AC2" t="str">
        <f>IF('Cosa manca'!B2="","",'Cosa manca'!B2)</f>
        <v>Trasporto</v>
      </c>
      <c r="AD2" t="str">
        <f>IF('Cosa manca'!A2="","",'Cosa manca'!A2)</f>
        <v>Volo di arrivo LH964 (Edimburgo)</v>
      </c>
      <c r="AE2" t="s">
        <v>33</v>
      </c>
      <c r="AF2">
        <f>IF('Cosa manca'!D2="","",'Cosa manca'!D2)</f>
        <v>0.96180555555555558</v>
      </c>
      <c r="AG2" t="s">
        <v>34</v>
      </c>
      <c r="AJ2" t="str">
        <f>IF('Cosa manca'!E2="","",'Cosa manca'!E2)</f>
        <v>ChIJfQHjkw7Fh0gRm9WxkiUKUxk</v>
      </c>
      <c r="AL2" t="str">
        <f>IF('Cosa manca'!F2="","",'Cosa manca'!F2)</f>
        <v/>
      </c>
      <c r="AM2" t="str">
        <f>IF('Cosa manca'!G2="","",'Cosa manca'!G2)</f>
        <v/>
      </c>
      <c r="AN2" t="str">
        <f>IF('Cosa manca'!H2="","",'Cosa manca'!H2)</f>
        <v/>
      </c>
      <c r="AO2" t="str">
        <f>IF('Cosa manca'!I2="","",'Cosa manca'!I2)</f>
        <v>Volo Lufthansa in arrivo a Edimburgo. Orario da verificare in tempo reale in caso di ritardi (integrazione con API voli prevista nell'app, non disponibile in questo foglio).</v>
      </c>
      <c r="AP2" t="str">
        <f>IF('Cosa manca'!J2="","",'Cosa manca'!J2)</f>
        <v/>
      </c>
      <c r="AQ2" t="s">
        <v>37</v>
      </c>
      <c r="AS2" t="s">
        <v>37</v>
      </c>
      <c r="AT2">
        <v>0</v>
      </c>
      <c r="AU2" t="str">
        <f>IF('Cosa manca'!L2="SI","SI","")</f>
        <v/>
      </c>
    </row>
    <row r="3" spans="1:47" x14ac:dyDescent="0.2">
      <c r="B3" s="31"/>
      <c r="F3" s="32"/>
      <c r="H3" s="32"/>
      <c r="AA3" t="s">
        <v>38</v>
      </c>
      <c r="AB3">
        <f>IF('Cosa manca'!C3="","",'Cosa manca'!C3)</f>
        <v>46244</v>
      </c>
      <c r="AC3" t="str">
        <f>IF('Cosa manca'!B3="","",'Cosa manca'!B3)</f>
        <v>Alloggio</v>
      </c>
      <c r="AD3" t="str">
        <f>IF('Cosa manca'!A3="","",'Cosa manca'!A3)</f>
        <v>DoubleTree by Hilton Edinburgh Airport</v>
      </c>
      <c r="AE3" t="s">
        <v>33</v>
      </c>
      <c r="AF3">
        <f>IF('Cosa manca'!D3="","",'Cosa manca'!D3)</f>
        <v>0.97916666666666663</v>
      </c>
      <c r="AG3" t="s">
        <v>41</v>
      </c>
      <c r="AI3" t="s">
        <v>42</v>
      </c>
      <c r="AJ3" t="str">
        <f>IF('Cosa manca'!E3="","",'Cosa manca'!E3)</f>
        <v>ChIJgV8j2gXFh0gR-kpGqwUreYk</v>
      </c>
      <c r="AK3" t="s">
        <v>44</v>
      </c>
      <c r="AL3" t="str">
        <f>IF('Cosa manca'!F3="","",'Cosa manca'!F3)</f>
        <v/>
      </c>
      <c r="AM3" t="str">
        <f>IF('Cosa manca'!G3="","",'Cosa manca'!G3)</f>
        <v/>
      </c>
      <c r="AN3" t="str">
        <f>IF('Cosa manca'!H3="","",'Cosa manca'!H3)</f>
        <v/>
      </c>
      <c r="AO3" t="str">
        <f>IF('Cosa manca'!I3="","",'Cosa manca'!I3)</f>
        <v>Hotel 4 stelle a pochi minuti dall'aeroporto di Edimburgo.</v>
      </c>
      <c r="AP3" t="str">
        <f>IF('Cosa manca'!J3="","",'Cosa manca'!J3)</f>
        <v>+44 131 519 4400</v>
      </c>
      <c r="AQ3" t="s">
        <v>37</v>
      </c>
      <c r="AS3" t="s">
        <v>37</v>
      </c>
      <c r="AT3">
        <v>0</v>
      </c>
      <c r="AU3" t="str">
        <f>IF('Cosa manca'!L3="SI","SI","")</f>
        <v/>
      </c>
    </row>
    <row r="4" spans="1:47" x14ac:dyDescent="0.2">
      <c r="B4" s="31"/>
      <c r="F4" s="32"/>
      <c r="H4" s="32"/>
      <c r="AA4" t="s">
        <v>47</v>
      </c>
      <c r="AB4">
        <f>IF('Cosa manca'!C4="","",'Cosa manca'!C4)</f>
        <v>46245</v>
      </c>
      <c r="AC4" t="str">
        <f>IF('Cosa manca'!B4="","",'Cosa manca'!B4)</f>
        <v>Trasporto</v>
      </c>
      <c r="AD4" t="str">
        <f>IF('Cosa manca'!A4="","",'Cosa manca'!A4)</f>
        <v>4X4 Hire Scotland Ltd</v>
      </c>
      <c r="AE4" t="s">
        <v>33</v>
      </c>
      <c r="AF4">
        <f>IF('Cosa manca'!D4="","",'Cosa manca'!D4)</f>
        <v>0.39583333333333331</v>
      </c>
      <c r="AG4" t="s">
        <v>49</v>
      </c>
      <c r="AJ4" t="str">
        <f>IF('Cosa manca'!E4="","",'Cosa manca'!E4)</f>
        <v>ChIJm05Y_ibFh0gRrPhn7koVhmQ</v>
      </c>
      <c r="AK4" t="s">
        <v>51</v>
      </c>
      <c r="AL4" t="str">
        <f>IF('Cosa manca'!F4="","",'Cosa manca'!F4)</f>
        <v/>
      </c>
      <c r="AM4" t="str">
        <f>IF('Cosa manca'!G4="","",'Cosa manca'!G4)</f>
        <v/>
      </c>
      <c r="AN4" t="str">
        <f>IF('Cosa manca'!H4="","",'Cosa manca'!H4)</f>
        <v/>
      </c>
      <c r="AO4" t="str">
        <f>IF('Cosa manca'!I4="","",'Cosa manca'!I4)</f>
        <v>Noleggio di veicoli 4x4 vicino a Edimburgo, utile per strade rurali o sterrate.</v>
      </c>
      <c r="AP4" t="str">
        <f>IF('Cosa manca'!J4="","",'Cosa manca'!J4)</f>
        <v>+44 131 333 5070</v>
      </c>
      <c r="AQ4" t="s">
        <v>37</v>
      </c>
      <c r="AS4" t="s">
        <v>37</v>
      </c>
      <c r="AT4">
        <v>0</v>
      </c>
      <c r="AU4" t="str">
        <f>IF('Cosa manca'!L4="SI","SI","")</f>
        <v/>
      </c>
    </row>
    <row r="5" spans="1:47" x14ac:dyDescent="0.2">
      <c r="B5" s="31"/>
      <c r="F5" s="32"/>
      <c r="H5" s="32"/>
      <c r="AA5" t="s">
        <v>54</v>
      </c>
      <c r="AB5">
        <f>IF('Cosa manca'!C5="","",'Cosa manca'!C5)</f>
        <v>46245</v>
      </c>
      <c r="AC5" t="str">
        <f>IF('Cosa manca'!B5="","",'Cosa manca'!B5)</f>
        <v>Attività</v>
      </c>
      <c r="AD5" t="str">
        <f>IF('Cosa manca'!A5="","",'Cosa manca'!A5)</f>
        <v>Stirling Castle</v>
      </c>
      <c r="AE5" t="s">
        <v>33</v>
      </c>
      <c r="AF5">
        <f>IF('Cosa manca'!D5="","",'Cosa manca'!D5)</f>
        <v>0.44791666666666669</v>
      </c>
      <c r="AH5" s="30">
        <v>0.53125</v>
      </c>
      <c r="AI5" t="s">
        <v>57</v>
      </c>
      <c r="AJ5" t="str">
        <f>IF('Cosa manca'!E5="","",'Cosa manca'!E5)</f>
        <v>ChIJp9U8KJJiiEgRZ_tBFfsEUHw</v>
      </c>
      <c r="AK5" t="s">
        <v>59</v>
      </c>
      <c r="AL5" t="str">
        <f>IF('Cosa manca'!F5="","",'Cosa manca'!F5)</f>
        <v/>
      </c>
      <c r="AM5" t="str">
        <f>IF('Cosa manca'!G5="","",'Cosa manca'!G5)</f>
        <v/>
      </c>
      <c r="AN5" t="str">
        <f>IF('Cosa manca'!H5="","",'Cosa manca'!H5)</f>
        <v>09:30-17:00 (tutti i giorni)</v>
      </c>
      <c r="AO5" t="str">
        <f>IF('Cosa manca'!I5="","",'Cosa manca'!I5)</f>
        <v>Uno dei castelli piu importanti di Scozia, legato a Robert the Bruce e Maria Stuarda.</v>
      </c>
      <c r="AP5" t="str">
        <f>IF('Cosa manca'!J5="","",'Cosa manca'!J5)</f>
        <v>+44 1786 450000</v>
      </c>
      <c r="AQ5" t="s">
        <v>63</v>
      </c>
      <c r="AS5" t="s">
        <v>37</v>
      </c>
      <c r="AT5">
        <v>0</v>
      </c>
      <c r="AU5" t="str">
        <f>IF('Cosa manca'!L5="SI","SI","")</f>
        <v/>
      </c>
    </row>
    <row r="6" spans="1:47" x14ac:dyDescent="0.2">
      <c r="B6" s="31"/>
      <c r="F6" s="32"/>
      <c r="H6" s="32"/>
      <c r="AA6" t="s">
        <v>64</v>
      </c>
      <c r="AB6">
        <f>IF('Cosa manca'!C6="","",'Cosa manca'!C6)</f>
        <v>46245</v>
      </c>
      <c r="AC6" t="str">
        <f>IF('Cosa manca'!B6="","",'Cosa manca'!B6)</f>
        <v>Relax</v>
      </c>
      <c r="AD6" t="str">
        <f>IF('Cosa manca'!A6="","",'Cosa manca'!A6)</f>
        <v>Friend of Mine (Bridge of Allan)</v>
      </c>
      <c r="AE6" t="s">
        <v>33</v>
      </c>
      <c r="AF6">
        <f>IF('Cosa manca'!D6="","",'Cosa manca'!D6)</f>
        <v>0.53819444444444442</v>
      </c>
      <c r="AH6" s="30">
        <v>0.57986111111111116</v>
      </c>
      <c r="AI6" t="s">
        <v>57</v>
      </c>
      <c r="AJ6" t="str">
        <f>IF('Cosa manca'!E6="","",'Cosa manca'!E6)</f>
        <v>ChIJtVaxyOKJiEgR57BtoXBL6WM</v>
      </c>
      <c r="AK6" t="s">
        <v>68</v>
      </c>
      <c r="AL6" t="str">
        <f>IF('Cosa manca'!F6="","",'Cosa manca'!F6)</f>
        <v>friendofmine.co.uk</v>
      </c>
      <c r="AM6" t="str">
        <f>IF('Cosa manca'!G6="","",'Cosa manca'!G6)</f>
        <v/>
      </c>
      <c r="AN6" t="str">
        <f>IF('Cosa manca'!H6="","",'Cosa manca'!H6)</f>
        <v>09:00-22:00 (lun-gio/dom), 09:00-23:00 (ven-sab)</v>
      </c>
      <c r="AO6" t="str">
        <f>IF('Cosa manca'!I6="","",'Cosa manca'!I6)</f>
        <v>Cafe-ristorante consigliato per il pranzo dopo Stirling Castle, a Bridge of Allan (pochi minuti dal castello).</v>
      </c>
      <c r="AP6" t="str">
        <f>IF('Cosa manca'!J6="","",'Cosa manca'!J6)</f>
        <v>+44 1786 831386</v>
      </c>
      <c r="AQ6" t="s">
        <v>37</v>
      </c>
      <c r="AS6" t="s">
        <v>37</v>
      </c>
      <c r="AT6">
        <v>0</v>
      </c>
      <c r="AU6" t="str">
        <f>IF('Cosa manca'!L6="SI","SI","")</f>
        <v/>
      </c>
    </row>
    <row r="7" spans="1:47" x14ac:dyDescent="0.2">
      <c r="B7" s="31"/>
      <c r="F7" s="32"/>
      <c r="H7" s="32"/>
      <c r="AA7" t="s">
        <v>73</v>
      </c>
      <c r="AB7">
        <f>IF('Cosa manca'!C7="","",'Cosa manca'!C7)</f>
        <v>46245</v>
      </c>
      <c r="AC7" t="str">
        <f>IF('Cosa manca'!B7="","",'Cosa manca'!B7)</f>
        <v>Tappa</v>
      </c>
      <c r="AD7" t="str">
        <f>IF('Cosa manca'!A7="","",'Cosa manca'!A7)</f>
        <v>Aviemore</v>
      </c>
      <c r="AE7" t="s">
        <v>33</v>
      </c>
      <c r="AF7">
        <f>IF('Cosa manca'!D7="","",'Cosa manca'!D7)</f>
        <v>0.66319444444444442</v>
      </c>
      <c r="AH7" s="30">
        <v>0.67013888888888884</v>
      </c>
      <c r="AI7" t="s">
        <v>76</v>
      </c>
      <c r="AJ7" t="str">
        <f>IF('Cosa manca'!E7="","",'Cosa manca'!E7)</f>
        <v>ChIJYdwLblnxhUgRA3Kb1RzR3TM</v>
      </c>
      <c r="AK7" t="s">
        <v>78</v>
      </c>
      <c r="AL7" t="str">
        <f>IF('Cosa manca'!F7="","",'Cosa manca'!F7)</f>
        <v/>
      </c>
      <c r="AM7" t="str">
        <f>IF('Cosa manca'!G7="","",'Cosa manca'!G7)</f>
        <v/>
      </c>
      <c r="AN7" t="str">
        <f>IF('Cosa manca'!H7="","",'Cosa manca'!H7)</f>
        <v/>
      </c>
      <c r="AO7" t="str">
        <f>IF('Cosa manca'!I7="","",'Cosa manca'!I7)</f>
        <v>Cittadina nel cuore dei Cairngorms, base per attivita outdoor.</v>
      </c>
      <c r="AP7" t="str">
        <f>IF('Cosa manca'!J7="","",'Cosa manca'!J7)</f>
        <v/>
      </c>
      <c r="AQ7" t="s">
        <v>37</v>
      </c>
      <c r="AS7" t="s">
        <v>37</v>
      </c>
      <c r="AT7">
        <v>0</v>
      </c>
      <c r="AU7" t="str">
        <f>IF('Cosa manca'!L7="SI","SI","")</f>
        <v/>
      </c>
    </row>
    <row r="8" spans="1:47" x14ac:dyDescent="0.2">
      <c r="B8" s="31"/>
      <c r="F8" s="32"/>
      <c r="H8" s="32"/>
      <c r="AA8" t="s">
        <v>80</v>
      </c>
      <c r="AB8">
        <f>IF('Cosa manca'!C8="","",'Cosa manca'!C8)</f>
        <v>46245</v>
      </c>
      <c r="AC8" t="str">
        <f>IF('Cosa manca'!B8="","",'Cosa manca'!B8)</f>
        <v>Attività</v>
      </c>
      <c r="AD8" t="str">
        <f>IF('Cosa manca'!A8="","",'Cosa manca'!A8)</f>
        <v>Cairngorms</v>
      </c>
      <c r="AE8" t="s">
        <v>33</v>
      </c>
      <c r="AF8">
        <f>IF('Cosa manca'!D8="","",'Cosa manca'!D8)</f>
        <v>0.68055555555555558</v>
      </c>
      <c r="AH8" s="30">
        <v>0.79166666666666663</v>
      </c>
      <c r="AI8" t="s">
        <v>82</v>
      </c>
      <c r="AJ8" t="str">
        <f>IF('Cosa manca'!E8="","",'Cosa manca'!E8)</f>
        <v>ChIJ7wf4EI_xhUgRUvZ6OjtXNZs</v>
      </c>
      <c r="AK8" t="s">
        <v>84</v>
      </c>
      <c r="AL8" t="str">
        <f>IF('Cosa manca'!F8="","",'Cosa manca'!F8)</f>
        <v/>
      </c>
      <c r="AM8" t="str">
        <f>IF('Cosa manca'!G8="","",'Cosa manca'!G8)</f>
        <v>3 £ parcheggio (Coire Cas)</v>
      </c>
      <c r="AN8" t="str">
        <f>IF('Cosa manca'!H8="","",'Cosa manca'!H8)</f>
        <v>Sempre aperto</v>
      </c>
      <c r="AO8" t="str">
        <f>IF('Cosa manca'!I8="","",'Cosa manca'!I8)</f>
        <v>Trekking circolare a Coire an t-Sneachda (Cairngorms), partenza dal Coire Cas Car Park (Cairngorm Mountain), vicino ad Aviemore: ~6,5 km, dislivello moderato, viste sulla parete della corrie.</v>
      </c>
      <c r="AP8" t="str">
        <f>IF('Cosa manca'!J8="","",'Cosa manca'!J8)</f>
        <v/>
      </c>
      <c r="AQ8" t="s">
        <v>63</v>
      </c>
      <c r="AS8" t="s">
        <v>37</v>
      </c>
      <c r="AT8">
        <v>0</v>
      </c>
      <c r="AU8" t="str">
        <f>IF('Cosa manca'!L8="SI","SI","")</f>
        <v/>
      </c>
    </row>
    <row r="9" spans="1:47" x14ac:dyDescent="0.2">
      <c r="B9" s="31"/>
      <c r="F9" s="32"/>
      <c r="H9" s="32"/>
      <c r="AA9" t="s">
        <v>88</v>
      </c>
      <c r="AB9">
        <f>IF('Cosa manca'!C9="","",'Cosa manca'!C9)</f>
        <v>46245</v>
      </c>
      <c r="AC9" t="str">
        <f>IF('Cosa manca'!B9="","",'Cosa manca'!B9)</f>
        <v>Alloggio</v>
      </c>
      <c r="AD9" t="str">
        <f>IF('Cosa manca'!A9="","",'Cosa manca'!A9)</f>
        <v>Hillside Luxury Apartments</v>
      </c>
      <c r="AE9" t="s">
        <v>33</v>
      </c>
      <c r="AF9">
        <f>IF('Cosa manca'!D9="","",'Cosa manca'!D9)</f>
        <v>0.83680555555555558</v>
      </c>
      <c r="AG9" t="s">
        <v>41</v>
      </c>
      <c r="AJ9" t="str">
        <f>IF('Cosa manca'!E9="","",'Cosa manca'!E9)</f>
        <v>ChIJYSZpGWtxj0gRDjwCHR3pRfs</v>
      </c>
      <c r="AK9" t="s">
        <v>91</v>
      </c>
      <c r="AL9" t="str">
        <f>IF('Cosa manca'!F9="","",'Cosa manca'!F9)</f>
        <v/>
      </c>
      <c r="AM9" t="str">
        <f>IF('Cosa manca'!G9="","",'Cosa manca'!G9)</f>
        <v/>
      </c>
      <c r="AN9" t="str">
        <f>IF('Cosa manca'!H9="","",'Cosa manca'!H9)</f>
        <v/>
      </c>
      <c r="AO9" t="str">
        <f>IF('Cosa manca'!I9="","",'Cosa manca'!I9)</f>
        <v>Appartamenti di lusso a Inverness con vista sul castello.</v>
      </c>
      <c r="AP9" t="str">
        <f>IF('Cosa manca'!J9="","",'Cosa manca'!J9)</f>
        <v>+44 1463 223777</v>
      </c>
      <c r="AQ9" t="s">
        <v>37</v>
      </c>
      <c r="AS9" t="s">
        <v>37</v>
      </c>
      <c r="AT9">
        <v>0</v>
      </c>
      <c r="AU9" t="str">
        <f>IF('Cosa manca'!L9="SI","SI","")</f>
        <v/>
      </c>
    </row>
    <row r="10" spans="1:47" x14ac:dyDescent="0.2">
      <c r="B10" s="31"/>
      <c r="F10" s="32"/>
      <c r="H10" s="32"/>
      <c r="AA10" t="s">
        <v>94</v>
      </c>
      <c r="AB10">
        <f>IF('Cosa manca'!C10="","",'Cosa manca'!C10)</f>
        <v>46245</v>
      </c>
      <c r="AC10" t="str">
        <f>IF('Cosa manca'!B10="","",'Cosa manca'!B10)</f>
        <v>Relax</v>
      </c>
      <c r="AD10" t="str">
        <f>IF('Cosa manca'!A10="","",'Cosa manca'!A10)</f>
        <v>The Mustard Seed Restaurant (Inverness)</v>
      </c>
      <c r="AE10" t="s">
        <v>33</v>
      </c>
      <c r="AF10">
        <f>IF('Cosa manca'!D10="","",'Cosa manca'!D10)</f>
        <v>0.84375</v>
      </c>
      <c r="AH10" s="30">
        <v>0.88541666666666663</v>
      </c>
      <c r="AI10" t="s">
        <v>57</v>
      </c>
      <c r="AJ10" t="str">
        <f>IF('Cosa manca'!E10="","",'Cosa manca'!E10)</f>
        <v>ChIJxaoRsVNxj0gRNxsTTBxOr2w</v>
      </c>
      <c r="AK10" t="s">
        <v>97</v>
      </c>
      <c r="AL10" t="str">
        <f>IF('Cosa manca'!F10="","",'Cosa manca'!F10)</f>
        <v/>
      </c>
      <c r="AM10" t="str">
        <f>IF('Cosa manca'!G10="","",'Cosa manca'!G10)</f>
        <v/>
      </c>
      <c r="AN10" t="str">
        <f>IF('Cosa manca'!H10="","",'Cosa manca'!H10)</f>
        <v>12:00-22:00 (martedi)</v>
      </c>
      <c r="AO10" t="str">
        <f>IF('Cosa manca'!I10="","",'Cosa manca'!I10)</f>
        <v>Ristorante sul fiume Ness, ottime viste. Cena tardiva rispetto alla finestra ideale (18:00-19:30): con il trekking del pomeriggio non e possibile arrivare prima.</v>
      </c>
      <c r="AP10" t="str">
        <f>IF('Cosa manca'!J10="","",'Cosa manca'!J10)</f>
        <v>+44 1463 220220</v>
      </c>
      <c r="AQ10" t="s">
        <v>37</v>
      </c>
      <c r="AS10" t="s">
        <v>37</v>
      </c>
      <c r="AT10">
        <v>0</v>
      </c>
      <c r="AU10" t="str">
        <f>IF('Cosa manca'!L10="SI","SI","")</f>
        <v/>
      </c>
    </row>
    <row r="11" spans="1:47" x14ac:dyDescent="0.2">
      <c r="B11" s="31"/>
      <c r="F11" s="32"/>
      <c r="H11" s="32"/>
      <c r="AA11" t="s">
        <v>101</v>
      </c>
      <c r="AB11">
        <f>IF('Cosa manca'!C11="","",'Cosa manca'!C11)</f>
        <v>46245</v>
      </c>
      <c r="AC11" t="str">
        <f>IF('Cosa manca'!B11="","",'Cosa manca'!B11)</f>
        <v>Attività</v>
      </c>
      <c r="AD11" t="str">
        <f>IF('Cosa manca'!A11="","",'Cosa manca'!A11)</f>
        <v>Blair Athol Distillery</v>
      </c>
      <c r="AE11" t="s">
        <v>103</v>
      </c>
      <c r="AF11" t="str">
        <f>IF('Cosa manca'!D11="","",'Cosa manca'!D11)</f>
        <v/>
      </c>
      <c r="AJ11" t="str">
        <f>IF('Cosa manca'!E11="","",'Cosa manca'!E11)</f>
        <v>ChIJOVIM5scChkgR0ULoCyffTr8</v>
      </c>
      <c r="AK11" t="s">
        <v>105</v>
      </c>
      <c r="AL11" t="str">
        <f>IF('Cosa manca'!F11="","",'Cosa manca'!F11)</f>
        <v/>
      </c>
      <c r="AM11" t="str">
        <f>IF('Cosa manca'!G11="","",'Cosa manca'!G11)</f>
        <v/>
      </c>
      <c r="AN11" t="str">
        <f>IF('Cosa manca'!H11="","",'Cosa manca'!H11)</f>
        <v>10:00-19:00 (tutti i giorni)</v>
      </c>
      <c r="AO11" t="str">
        <f>IF('Cosa manca'!I11="","",'Cosa manca'!I11)</f>
        <v>Una delle distillerie di whisky piu antiche di Scozia, a Pitlochry. (Facoltativa: con il trekking al Cairngorm il tempo si stringe.)</v>
      </c>
      <c r="AP11" t="str">
        <f>IF('Cosa manca'!J11="","",'Cosa manca'!J11)</f>
        <v>+44 1796 482003</v>
      </c>
      <c r="AQ11" t="s">
        <v>37</v>
      </c>
      <c r="AR11" t="s">
        <v>109</v>
      </c>
      <c r="AS11" t="s">
        <v>37</v>
      </c>
      <c r="AT11">
        <v>0</v>
      </c>
      <c r="AU11" t="str">
        <f>IF('Cosa manca'!L11="SI","SI","")</f>
        <v/>
      </c>
    </row>
    <row r="12" spans="1:47" x14ac:dyDescent="0.2">
      <c r="B12" s="31"/>
      <c r="F12" s="32"/>
      <c r="H12" s="32"/>
      <c r="AA12" t="s">
        <v>110</v>
      </c>
      <c r="AB12">
        <f>IF('Cosa manca'!C12="","",'Cosa manca'!C12)</f>
        <v>46246</v>
      </c>
      <c r="AC12" t="str">
        <f>IF('Cosa manca'!B12="","",'Cosa manca'!B12)</f>
        <v>Attività</v>
      </c>
      <c r="AD12" t="str">
        <f>IF('Cosa manca'!A12="","",'Cosa manca'!A12)</f>
        <v>Whaligoe Steps</v>
      </c>
      <c r="AE12" t="s">
        <v>33</v>
      </c>
      <c r="AF12">
        <f>IF('Cosa manca'!D12="","",'Cosa manca'!D12)</f>
        <v>0.41666666666666669</v>
      </c>
      <c r="AH12" s="30">
        <v>0.45833333333333331</v>
      </c>
      <c r="AI12" t="s">
        <v>57</v>
      </c>
      <c r="AJ12" t="str">
        <f>IF('Cosa manca'!E12="","",'Cosa manca'!E12)</f>
        <v>ChIJqTrDz-LTmkgROqELD20pqWk</v>
      </c>
      <c r="AK12" t="s">
        <v>113</v>
      </c>
      <c r="AL12" t="str">
        <f>IF('Cosa manca'!F12="","",'Cosa manca'!F12)</f>
        <v/>
      </c>
      <c r="AM12" t="str">
        <f>IF('Cosa manca'!G12="","",'Cosa manca'!G12)</f>
        <v>Gratuito (offerta libera)</v>
      </c>
      <c r="AN12" t="str">
        <f>IF('Cosa manca'!H12="","",'Cosa manca'!H12)</f>
        <v>Sempre aperto</v>
      </c>
      <c r="AO12" t="str">
        <f>IF('Cosa manca'!I12="","",'Cosa manca'!I12)</f>
        <v>365 gradini che scendono verso un'antica insenatura dei pescatori, ottimo punto panoramico sulla costa.</v>
      </c>
      <c r="AP12" t="str">
        <f>IF('Cosa manca'!J12="","",'Cosa manca'!J12)</f>
        <v/>
      </c>
      <c r="AQ12" t="s">
        <v>63</v>
      </c>
      <c r="AS12" t="s">
        <v>37</v>
      </c>
      <c r="AT12">
        <v>0</v>
      </c>
      <c r="AU12" t="str">
        <f>IF('Cosa manca'!L12="SI","SI","")</f>
        <v/>
      </c>
    </row>
    <row r="13" spans="1:47" x14ac:dyDescent="0.2">
      <c r="B13" s="31"/>
      <c r="F13" s="32"/>
      <c r="H13" s="32"/>
      <c r="AA13" t="s">
        <v>116</v>
      </c>
      <c r="AB13">
        <f>IF('Cosa manca'!C13="","",'Cosa manca'!C13)</f>
        <v>46246</v>
      </c>
      <c r="AC13" t="str">
        <f>IF('Cosa manca'!B13="","",'Cosa manca'!B13)</f>
        <v>Relax</v>
      </c>
      <c r="AD13" t="str">
        <f>IF('Cosa manca'!A13="","",'Cosa manca'!A13)</f>
        <v>No.1 Bistro (Wick) - pranzo</v>
      </c>
      <c r="AE13" t="s">
        <v>33</v>
      </c>
      <c r="AF13">
        <f>IF('Cosa manca'!D13="","",'Cosa manca'!D13)</f>
        <v>0.5</v>
      </c>
      <c r="AH13" s="30">
        <v>0.54166666666666663</v>
      </c>
      <c r="AI13" t="s">
        <v>57</v>
      </c>
      <c r="AJ13" t="str">
        <f>IF('Cosa manca'!E13="","",'Cosa manca'!E13)</f>
        <v>ChIJP9l9fLXXmkgR5toM25Bxmz4</v>
      </c>
      <c r="AK13" t="s">
        <v>119</v>
      </c>
      <c r="AL13" t="str">
        <f>IF('Cosa manca'!F13="","",'Cosa manca'!F13)</f>
        <v/>
      </c>
      <c r="AM13" t="str">
        <f>IF('Cosa manca'!G13="","",'Cosa manca'!G13)</f>
        <v/>
      </c>
      <c r="AN13" t="str">
        <f>IF('Cosa manca'!H13="","",'Cosa manca'!H13)</f>
        <v>11:00-13:45 e 17:30-20:30 (mercoledi)</v>
      </c>
      <c r="AO13" t="str">
        <f>IF('Cosa manca'!I13="","",'Cosa manca'!I13)</f>
        <v>Bistrot molto apprezzato nel centro di Wick, servizio pranzo entro le 13:45.</v>
      </c>
      <c r="AP13" t="str">
        <f>IF('Cosa manca'!J13="","",'Cosa manca'!J13)</f>
        <v>+44 1955 602323</v>
      </c>
      <c r="AQ13" t="s">
        <v>37</v>
      </c>
      <c r="AS13" t="s">
        <v>37</v>
      </c>
      <c r="AT13">
        <v>0</v>
      </c>
      <c r="AU13" t="str">
        <f>IF('Cosa manca'!L13="SI","SI","")</f>
        <v/>
      </c>
    </row>
    <row r="14" spans="1:47" x14ac:dyDescent="0.2">
      <c r="B14" s="31"/>
      <c r="F14" s="32"/>
      <c r="H14" s="32"/>
      <c r="AA14" t="s">
        <v>123</v>
      </c>
      <c r="AB14">
        <f>IF('Cosa manca'!C14="","",'Cosa manca'!C14)</f>
        <v>46246</v>
      </c>
      <c r="AC14" t="str">
        <f>IF('Cosa manca'!B14="","",'Cosa manca'!B14)</f>
        <v>Attività</v>
      </c>
      <c r="AD14" t="str">
        <f>IF('Cosa manca'!A14="","",'Cosa manca'!A14)</f>
        <v>Duncansby Stacks</v>
      </c>
      <c r="AE14" t="s">
        <v>33</v>
      </c>
      <c r="AF14">
        <f>IF('Cosa manca'!D14="","",'Cosa manca'!D14)</f>
        <v>0.5625</v>
      </c>
      <c r="AH14" s="30">
        <v>0.61458333333333337</v>
      </c>
      <c r="AI14" t="s">
        <v>125</v>
      </c>
      <c r="AJ14" t="str">
        <f>IF('Cosa manca'!E14="","",'Cosa manca'!E14)</f>
        <v>ChIJE1CdVm_fmkgRFgVyZCsDn24</v>
      </c>
      <c r="AK14" t="s">
        <v>127</v>
      </c>
      <c r="AL14" t="str">
        <f>IF('Cosa manca'!F14="","",'Cosa manca'!F14)</f>
        <v/>
      </c>
      <c r="AM14" t="str">
        <f>IF('Cosa manca'!G14="","",'Cosa manca'!G14)</f>
        <v/>
      </c>
      <c r="AN14" t="str">
        <f>IF('Cosa manca'!H14="","",'Cosa manca'!H14)</f>
        <v>Sempre aperto</v>
      </c>
      <c r="AO14" t="str">
        <f>IF('Cosa manca'!I14="","",'Cosa manca'!I14)</f>
        <v>Faraglioni spettacolari vicino a John o' Groats, raggiungibili a piedi dal faro di Duncansby.</v>
      </c>
      <c r="AP14" t="str">
        <f>IF('Cosa manca'!J14="","",'Cosa manca'!J14)</f>
        <v/>
      </c>
      <c r="AQ14" t="s">
        <v>63</v>
      </c>
      <c r="AS14" t="s">
        <v>37</v>
      </c>
      <c r="AT14">
        <v>0</v>
      </c>
      <c r="AU14" t="str">
        <f>IF('Cosa manca'!L14="SI","SI","")</f>
        <v/>
      </c>
    </row>
    <row r="15" spans="1:47" x14ac:dyDescent="0.2">
      <c r="B15" s="31"/>
      <c r="F15" s="32"/>
      <c r="H15" s="32"/>
      <c r="AA15" t="s">
        <v>129</v>
      </c>
      <c r="AB15">
        <f>IF('Cosa manca'!C15="","",'Cosa manca'!C15)</f>
        <v>46246</v>
      </c>
      <c r="AC15" t="str">
        <f>IF('Cosa manca'!B15="","",'Cosa manca'!B15)</f>
        <v>Attività</v>
      </c>
      <c r="AD15" t="str">
        <f>IF('Cosa manca'!A15="","",'Cosa manca'!A15)</f>
        <v>John o' Groats</v>
      </c>
      <c r="AE15" t="s">
        <v>33</v>
      </c>
      <c r="AF15">
        <f>IF('Cosa manca'!D15="","",'Cosa manca'!D15)</f>
        <v>0.62152777777777779</v>
      </c>
      <c r="AH15" s="30">
        <v>0.65277777777777779</v>
      </c>
      <c r="AI15" t="s">
        <v>57</v>
      </c>
      <c r="AJ15" t="str">
        <f>IF('Cosa manca'!E15="","",'Cosa manca'!E15)</f>
        <v>ChIJw1K-uCLfmkgRdMW19Tfb-IY</v>
      </c>
      <c r="AK15" t="s">
        <v>132</v>
      </c>
      <c r="AL15" t="str">
        <f>IF('Cosa manca'!F15="","",'Cosa manca'!F15)</f>
        <v/>
      </c>
      <c r="AM15" t="str">
        <f>IF('Cosa manca'!G15="","",'Cosa manca'!G15)</f>
        <v/>
      </c>
      <c r="AN15" t="str">
        <f>IF('Cosa manca'!H15="","",'Cosa manca'!H15)</f>
        <v/>
      </c>
      <c r="AO15" t="str">
        <f>IF('Cosa manca'!I15="","",'Cosa manca'!I15)</f>
        <v>Punto piu a nord-est della Scozia continentale, tappa fotografica simbolica.</v>
      </c>
      <c r="AP15" t="str">
        <f>IF('Cosa manca'!J15="","",'Cosa manca'!J15)</f>
        <v/>
      </c>
      <c r="AQ15" t="s">
        <v>63</v>
      </c>
      <c r="AS15" t="s">
        <v>37</v>
      </c>
      <c r="AT15">
        <v>0</v>
      </c>
      <c r="AU15" t="str">
        <f>IF('Cosa manca'!L15="SI","SI","")</f>
        <v/>
      </c>
    </row>
    <row r="16" spans="1:47" x14ac:dyDescent="0.2">
      <c r="B16" s="31"/>
      <c r="F16" s="32"/>
      <c r="H16" s="32"/>
      <c r="AA16" t="s">
        <v>134</v>
      </c>
      <c r="AB16">
        <f>IF('Cosa manca'!C16="","",'Cosa manca'!C16)</f>
        <v>46246</v>
      </c>
      <c r="AC16" t="str">
        <f>IF('Cosa manca'!B16="","",'Cosa manca'!B16)</f>
        <v>Relax</v>
      </c>
      <c r="AD16" t="str">
        <f>IF('Cosa manca'!A16="","",'Cosa manca'!A16)</f>
        <v>No.1 Bistro (Wick) - cena</v>
      </c>
      <c r="AE16" t="s">
        <v>33</v>
      </c>
      <c r="AF16">
        <f>IF('Cosa manca'!D16="","",'Cosa manca'!D16)</f>
        <v>0.77083333333333337</v>
      </c>
      <c r="AH16" s="30">
        <v>0.8125</v>
      </c>
      <c r="AI16" t="s">
        <v>57</v>
      </c>
      <c r="AJ16" t="str">
        <f>IF('Cosa manca'!E16="","",'Cosa manca'!E16)</f>
        <v>ChIJP9l9fLXXmkgR5toM25Bxmz4</v>
      </c>
      <c r="AK16" t="s">
        <v>119</v>
      </c>
      <c r="AL16" t="str">
        <f>IF('Cosa manca'!F16="","",'Cosa manca'!F16)</f>
        <v/>
      </c>
      <c r="AM16" t="str">
        <f>IF('Cosa manca'!G16="","",'Cosa manca'!G16)</f>
        <v/>
      </c>
      <c r="AN16" t="str">
        <f>IF('Cosa manca'!H16="","",'Cosa manca'!H16)</f>
        <v>11:00-13:45 e 17:30-20:30 (mercoledi)</v>
      </c>
      <c r="AO16" t="str">
        <f>IF('Cosa manca'!I16="","",'Cosa manca'!I16)</f>
        <v>Stesso locale del pranzo, turno cena entro le 20:30. Dopo cena, ~20 min di guida fino a Beyond North Cabins.</v>
      </c>
      <c r="AP16" t="str">
        <f>IF('Cosa manca'!J16="","",'Cosa manca'!J16)</f>
        <v>+44 1955 602323</v>
      </c>
      <c r="AQ16" t="s">
        <v>37</v>
      </c>
      <c r="AS16" t="s">
        <v>37</v>
      </c>
      <c r="AT16">
        <v>0</v>
      </c>
      <c r="AU16" t="str">
        <f>IF('Cosa manca'!L16="SI","SI","")</f>
        <v/>
      </c>
    </row>
    <row r="17" spans="2:47" x14ac:dyDescent="0.2">
      <c r="B17" s="31"/>
      <c r="F17" s="32"/>
      <c r="H17" s="32"/>
      <c r="AA17" t="s">
        <v>137</v>
      </c>
      <c r="AB17">
        <f>IF('Cosa manca'!C17="","",'Cosa manca'!C17)</f>
        <v>46246</v>
      </c>
      <c r="AC17" t="str">
        <f>IF('Cosa manca'!B17="","",'Cosa manca'!B17)</f>
        <v>Alloggio</v>
      </c>
      <c r="AD17" t="str">
        <f>IF('Cosa manca'!A17="","",'Cosa manca'!A17)</f>
        <v>Beyond North Cabins</v>
      </c>
      <c r="AE17" t="s">
        <v>33</v>
      </c>
      <c r="AF17">
        <f>IF('Cosa manca'!D17="","",'Cosa manca'!D17)</f>
        <v>0.83333333333333337</v>
      </c>
      <c r="AG17" t="s">
        <v>41</v>
      </c>
      <c r="AJ17" t="str">
        <f>IF('Cosa manca'!E17="","",'Cosa manca'!E17)</f>
        <v>ChIJXX_SasbdmkgRXLlpJV89vh0</v>
      </c>
      <c r="AK17" t="s">
        <v>140</v>
      </c>
      <c r="AL17" t="str">
        <f>IF('Cosa manca'!F17="","",'Cosa manca'!F17)</f>
        <v/>
      </c>
      <c r="AM17" t="str">
        <f>IF('Cosa manca'!G17="","",'Cosa manca'!G17)</f>
        <v/>
      </c>
      <c r="AN17" t="str">
        <f>IF('Cosa manca'!H17="","",'Cosa manca'!H17)</f>
        <v/>
      </c>
      <c r="AO17" t="str">
        <f>IF('Cosa manca'!I17="","",'Cosa manca'!I17)</f>
        <v>Cabin di lusso vicino a John o' Groats, nell'estremo nord della Scozia.</v>
      </c>
      <c r="AP17" t="str">
        <f>IF('Cosa manca'!J17="","",'Cosa manca'!J17)</f>
        <v>+44 7921 338511</v>
      </c>
      <c r="AQ17" t="s">
        <v>37</v>
      </c>
      <c r="AS17" t="s">
        <v>37</v>
      </c>
      <c r="AT17">
        <v>0</v>
      </c>
      <c r="AU17" t="str">
        <f>IF('Cosa manca'!L17="SI","SI","")</f>
        <v/>
      </c>
    </row>
    <row r="18" spans="2:47" x14ac:dyDescent="0.2">
      <c r="B18" s="31"/>
      <c r="F18" s="32"/>
      <c r="H18" s="32"/>
      <c r="AA18" t="s">
        <v>143</v>
      </c>
      <c r="AB18">
        <f>IF('Cosa manca'!C18="","",'Cosa manca'!C18)</f>
        <v>46246</v>
      </c>
      <c r="AC18" t="str">
        <f>IF('Cosa manca'!B18="","",'Cosa manca'!B18)</f>
        <v>Relax</v>
      </c>
      <c r="AD18" t="str">
        <f>IF('Cosa manca'!A18="","",'Cosa manca'!A18)</f>
        <v>Annie's Bakery</v>
      </c>
      <c r="AE18" t="s">
        <v>103</v>
      </c>
      <c r="AF18" t="str">
        <f>IF('Cosa manca'!D18="","",'Cosa manca'!D18)</f>
        <v/>
      </c>
      <c r="AJ18" t="str">
        <f>IF('Cosa manca'!E18="","",'Cosa manca'!E18)</f>
        <v>ChIJjf21ygDXmkgRXbCWDg3cStM</v>
      </c>
      <c r="AK18" t="s">
        <v>146</v>
      </c>
      <c r="AL18" t="str">
        <f>IF('Cosa manca'!F18="","",'Cosa manca'!F18)</f>
        <v/>
      </c>
      <c r="AM18" t="str">
        <f>IF('Cosa manca'!G18="","",'Cosa manca'!G18)</f>
        <v/>
      </c>
      <c r="AN18" t="str">
        <f>IF('Cosa manca'!H18="","",'Cosa manca'!H18)</f>
        <v>Mer/Gio/Ven/Dom 10:00-14:00 (chiuso Lun/Mar/Sab)</v>
      </c>
      <c r="AO18" t="str">
        <f>IF('Cosa manca'!I18="","",'Cosa manca'!I18)</f>
        <v>Panetteria vicino John o' Groats. NON compatibile con l'orario pranzo/cena: chiude alle 14:00 il mercoledi, troppo presto per il programma della giornata.</v>
      </c>
      <c r="AP18" t="str">
        <f>IF('Cosa manca'!J18="","",'Cosa manca'!J18)</f>
        <v>+44 1955 611497</v>
      </c>
      <c r="AQ18" t="s">
        <v>37</v>
      </c>
      <c r="AR18" t="s">
        <v>109</v>
      </c>
      <c r="AS18" t="s">
        <v>37</v>
      </c>
      <c r="AT18">
        <v>0</v>
      </c>
      <c r="AU18" t="str">
        <f>IF('Cosa manca'!L18="SI","SI","")</f>
        <v>SI</v>
      </c>
    </row>
    <row r="19" spans="2:47" x14ac:dyDescent="0.2">
      <c r="B19" s="31"/>
      <c r="F19" s="32"/>
      <c r="H19" s="32"/>
      <c r="AA19" t="s">
        <v>150</v>
      </c>
      <c r="AB19">
        <f>IF('Cosa manca'!C19="","",'Cosa manca'!C19)</f>
        <v>46247</v>
      </c>
      <c r="AC19" t="str">
        <f>IF('Cosa manca'!B19="","",'Cosa manca'!B19)</f>
        <v>Attività</v>
      </c>
      <c r="AD19" t="str">
        <f>IF('Cosa manca'!A19="","",'Cosa manca'!A19)</f>
        <v>Burn of Midsand Nature Reserve</v>
      </c>
      <c r="AE19" t="s">
        <v>33</v>
      </c>
      <c r="AF19">
        <f>IF('Cosa manca'!D19="","",'Cosa manca'!D19)</f>
        <v>0.34375</v>
      </c>
      <c r="AH19" s="30">
        <v>0.3576388888888889</v>
      </c>
      <c r="AI19" t="s">
        <v>57</v>
      </c>
      <c r="AJ19" t="str">
        <f>IF('Cosa manca'!E19="","",'Cosa manca'!E19)</f>
        <v>ChIJ1yj1JJDFmkgRHZg48CEhWD4</v>
      </c>
      <c r="AK19" t="s">
        <v>153</v>
      </c>
      <c r="AL19" t="str">
        <f>IF('Cosa manca'!F19="","",'Cosa manca'!F19)</f>
        <v/>
      </c>
      <c r="AM19" t="str">
        <f>IF('Cosa manca'!G19="","",'Cosa manca'!G19)</f>
        <v/>
      </c>
      <c r="AN19" t="str">
        <f>IF('Cosa manca'!H19="","",'Cosa manca'!H19)</f>
        <v/>
      </c>
      <c r="AO19" t="str">
        <f>IF('Cosa manca'!I19="","",'Cosa manca'!I19)</f>
        <v>Riserva naturale costiera con dune, ottima per birdwatching.</v>
      </c>
      <c r="AP19" t="str">
        <f>IF('Cosa manca'!J19="","",'Cosa manca'!J19)</f>
        <v/>
      </c>
      <c r="AQ19" t="s">
        <v>63</v>
      </c>
      <c r="AS19" t="s">
        <v>37</v>
      </c>
      <c r="AT19">
        <v>0</v>
      </c>
      <c r="AU19" t="str">
        <f>IF('Cosa manca'!L19="SI","SI","")</f>
        <v/>
      </c>
    </row>
    <row r="20" spans="2:47" x14ac:dyDescent="0.2">
      <c r="B20" s="31"/>
      <c r="F20" s="32"/>
      <c r="H20" s="32"/>
      <c r="AA20" t="s">
        <v>155</v>
      </c>
      <c r="AB20">
        <f>IF('Cosa manca'!C20="","",'Cosa manca'!C20)</f>
        <v>46247</v>
      </c>
      <c r="AC20" t="str">
        <f>IF('Cosa manca'!B20="","",'Cosa manca'!B20)</f>
        <v>Attività</v>
      </c>
      <c r="AD20" t="str">
        <f>IF('Cosa manca'!A20="","",'Cosa manca'!A20)</f>
        <v>Peedie Sands</v>
      </c>
      <c r="AE20" t="s">
        <v>33</v>
      </c>
      <c r="AF20">
        <f>IF('Cosa manca'!D20="","",'Cosa manca'!D20)</f>
        <v>0.36458333333333331</v>
      </c>
      <c r="AH20" s="30">
        <v>0.3923611111111111</v>
      </c>
      <c r="AI20" t="s">
        <v>57</v>
      </c>
      <c r="AJ20" t="str">
        <f>IF('Cosa manca'!E20="","",'Cosa manca'!E20)</f>
        <v>ChIJwalQylDDmkgR40kXTOmR1oE</v>
      </c>
      <c r="AK20" t="s">
        <v>158</v>
      </c>
      <c r="AL20" t="str">
        <f>IF('Cosa manca'!F20="","",'Cosa manca'!F20)</f>
        <v/>
      </c>
      <c r="AM20" t="str">
        <f>IF('Cosa manca'!G20="","",'Cosa manca'!G20)</f>
        <v/>
      </c>
      <c r="AN20" t="str">
        <f>IF('Cosa manca'!H20="","",'Cosa manca'!H20)</f>
        <v>Sempre aperto</v>
      </c>
      <c r="AO20" t="str">
        <f>IF('Cosa manca'!I20="","",'Cosa manca'!I20)</f>
        <v>Piccola spiaggia nascosta vicino a Thurso, raggiungibile con una breve camminata.</v>
      </c>
      <c r="AP20" t="str">
        <f>IF('Cosa manca'!J20="","",'Cosa manca'!J20)</f>
        <v/>
      </c>
      <c r="AQ20" t="s">
        <v>63</v>
      </c>
      <c r="AS20" t="s">
        <v>37</v>
      </c>
      <c r="AT20">
        <v>0</v>
      </c>
      <c r="AU20" t="str">
        <f>IF('Cosa manca'!L20="SI","SI","")</f>
        <v/>
      </c>
    </row>
    <row r="21" spans="2:47" x14ac:dyDescent="0.2">
      <c r="B21" s="31"/>
      <c r="F21" s="32"/>
      <c r="H21" s="32"/>
      <c r="AA21" t="s">
        <v>160</v>
      </c>
      <c r="AB21">
        <f>IF('Cosa manca'!C21="","",'Cosa manca'!C21)</f>
        <v>46247</v>
      </c>
      <c r="AC21" t="str">
        <f>IF('Cosa manca'!B21="","",'Cosa manca'!B21)</f>
        <v>Attività</v>
      </c>
      <c r="AD21" t="str">
        <f>IF('Cosa manca'!A21="","",'Cosa manca'!A21)</f>
        <v>Stannergill Whisky Distillery at Castletown Mill</v>
      </c>
      <c r="AE21" t="s">
        <v>33</v>
      </c>
      <c r="AF21">
        <f>IF('Cosa manca'!D21="","",'Cosa manca'!D21)</f>
        <v>0.40625</v>
      </c>
      <c r="AH21" s="30">
        <v>0.42708333333333331</v>
      </c>
      <c r="AI21" t="s">
        <v>57</v>
      </c>
      <c r="AJ21" t="str">
        <f>IF('Cosa manca'!E21="","",'Cosa manca'!E21)</f>
        <v>ChIJvTCqhHXFmkgRdnCmdWAyL_4</v>
      </c>
      <c r="AK21" t="s">
        <v>163</v>
      </c>
      <c r="AL21" t="str">
        <f>IF('Cosa manca'!F21="","",'Cosa manca'!F21)</f>
        <v/>
      </c>
      <c r="AM21" t="str">
        <f>IF('Cosa manca'!G21="","",'Cosa manca'!G21)</f>
        <v/>
      </c>
      <c r="AN21" t="str">
        <f>IF('Cosa manca'!H21="","",'Cosa manca'!H21)</f>
        <v>10:00-17:00 (tutti i giorni)</v>
      </c>
      <c r="AO21" t="str">
        <f>IF('Cosa manca'!I21="","",'Cosa manca'!I21)</f>
        <v>Mulino storico restaurato con piccola distilleria e ristorante, vicino a Thurso. Apre alle 10:00: arrivo consigliato non prima.</v>
      </c>
      <c r="AP21" t="str">
        <f>IF('Cosa manca'!J21="","",'Cosa manca'!J21)</f>
        <v>+44 1847 698063</v>
      </c>
      <c r="AQ21" t="s">
        <v>37</v>
      </c>
      <c r="AS21" t="s">
        <v>37</v>
      </c>
      <c r="AT21">
        <v>0</v>
      </c>
      <c r="AU21" t="str">
        <f>IF('Cosa manca'!L21="SI","SI","")</f>
        <v/>
      </c>
    </row>
    <row r="22" spans="2:47" x14ac:dyDescent="0.2">
      <c r="B22" s="31"/>
      <c r="F22" s="32"/>
      <c r="H22" s="32"/>
      <c r="AA22" t="s">
        <v>167</v>
      </c>
      <c r="AB22">
        <f>IF('Cosa manca'!C22="","",'Cosa manca'!C22)</f>
        <v>46247</v>
      </c>
      <c r="AC22" t="str">
        <f>IF('Cosa manca'!B22="","",'Cosa manca'!B22)</f>
        <v>Relax</v>
      </c>
      <c r="AD22" t="str">
        <f>IF('Cosa manca'!A22="","",'Cosa manca'!A22)</f>
        <v>Red Pepper (Thurso) - pranzo</v>
      </c>
      <c r="AE22" t="s">
        <v>33</v>
      </c>
      <c r="AF22">
        <f>IF('Cosa manca'!D22="","",'Cosa manca'!D22)</f>
        <v>0.5</v>
      </c>
      <c r="AH22" s="30">
        <v>0.54166666666666663</v>
      </c>
      <c r="AI22" t="s">
        <v>57</v>
      </c>
      <c r="AJ22" t="str">
        <f>IF('Cosa manca'!E22="","",'Cosa manca'!E22)</f>
        <v>ChIJxXzH-Ku4mkgRtac1qTh5TPQ</v>
      </c>
      <c r="AK22" t="s">
        <v>170</v>
      </c>
      <c r="AL22" t="str">
        <f>IF('Cosa manca'!F22="","",'Cosa manca'!F22)</f>
        <v/>
      </c>
      <c r="AM22" t="str">
        <f>IF('Cosa manca'!G22="","",'Cosa manca'!G22)</f>
        <v/>
      </c>
      <c r="AN22" t="str">
        <f>IF('Cosa manca'!H22="","",'Cosa manca'!H22)</f>
        <v>12:00-14:00 e 17:00-20:30 (mercoledi)</v>
      </c>
      <c r="AO22" t="str">
        <f>IF('Cosa manca'!I22="","",'Cosa manca'!I22)</f>
        <v>Ristorante nel centro di Thurso, dentro l'Holborn Hotel. Buoni voti, anche opzioni senza glutine.</v>
      </c>
      <c r="AP22" t="str">
        <f>IF('Cosa manca'!J22="","",'Cosa manca'!J22)</f>
        <v>+44 1847 892771</v>
      </c>
      <c r="AQ22" t="s">
        <v>37</v>
      </c>
      <c r="AS22" t="s">
        <v>37</v>
      </c>
      <c r="AT22">
        <v>0</v>
      </c>
      <c r="AU22" t="str">
        <f>IF('Cosa manca'!L22="SI","SI","")</f>
        <v/>
      </c>
    </row>
    <row r="23" spans="2:47" x14ac:dyDescent="0.2">
      <c r="B23" s="31"/>
      <c r="F23" s="32"/>
      <c r="H23" s="32"/>
      <c r="AA23" t="s">
        <v>174</v>
      </c>
      <c r="AB23">
        <f>IF('Cosa manca'!C23="","",'Cosa manca'!C23)</f>
        <v>46247</v>
      </c>
      <c r="AC23" t="str">
        <f>IF('Cosa manca'!B23="","",'Cosa manca'!B23)</f>
        <v>Attività</v>
      </c>
      <c r="AD23" t="str">
        <f>IF('Cosa manca'!A23="","",'Cosa manca'!A23)</f>
        <v>Melvich Beach</v>
      </c>
      <c r="AE23" t="s">
        <v>33</v>
      </c>
      <c r="AF23">
        <f>IF('Cosa manca'!D23="","",'Cosa manca'!D23)</f>
        <v>0.57291666666666663</v>
      </c>
      <c r="AH23" s="30">
        <v>0.59375</v>
      </c>
      <c r="AI23" t="s">
        <v>57</v>
      </c>
      <c r="AJ23" t="str">
        <f>IF('Cosa manca'!E23="","",'Cosa manca'!E23)</f>
        <v>ChIJNyzcb5mmmkgRMfmr3iqK0z0</v>
      </c>
      <c r="AK23" t="s">
        <v>177</v>
      </c>
      <c r="AL23" t="str">
        <f>IF('Cosa manca'!F23="","",'Cosa manca'!F23)</f>
        <v/>
      </c>
      <c r="AM23" t="str">
        <f>IF('Cosa manca'!G23="","",'Cosa manca'!G23)</f>
        <v/>
      </c>
      <c r="AN23" t="str">
        <f>IF('Cosa manca'!H23="","",'Cosa manca'!H23)</f>
        <v>Sempre aperto</v>
      </c>
      <c r="AO23" t="str">
        <f>IF('Cosa manca'!I23="","",'Cosa manca'!I23)</f>
        <v>Ampia spiaggia di sabbia dorata nel nord della Scozia, tranquilla e panoramica.</v>
      </c>
      <c r="AP23" t="str">
        <f>IF('Cosa manca'!J23="","",'Cosa manca'!J23)</f>
        <v/>
      </c>
      <c r="AQ23" t="s">
        <v>63</v>
      </c>
      <c r="AS23" t="s">
        <v>37</v>
      </c>
      <c r="AT23">
        <v>0</v>
      </c>
      <c r="AU23" t="str">
        <f>IF('Cosa manca'!L23="SI","SI","")</f>
        <v/>
      </c>
    </row>
    <row r="24" spans="2:47" x14ac:dyDescent="0.2">
      <c r="B24" s="31"/>
      <c r="F24" s="32"/>
      <c r="H24" s="32"/>
      <c r="AA24" t="s">
        <v>179</v>
      </c>
      <c r="AB24">
        <f>IF('Cosa manca'!C24="","",'Cosa manca'!C24)</f>
        <v>46247</v>
      </c>
      <c r="AC24" t="str">
        <f>IF('Cosa manca'!B24="","",'Cosa manca'!B24)</f>
        <v>Attività</v>
      </c>
      <c r="AD24" t="str">
        <f>IF('Cosa manca'!A24="","",'Cosa manca'!A24)</f>
        <v>Allt Chranaidh Waterfall</v>
      </c>
      <c r="AE24" t="s">
        <v>33</v>
      </c>
      <c r="AF24">
        <f>IF('Cosa manca'!D24="","",'Cosa manca'!D24)</f>
        <v>0.67708333333333337</v>
      </c>
      <c r="AH24" s="30">
        <v>0.70833333333333337</v>
      </c>
      <c r="AI24" t="s">
        <v>57</v>
      </c>
      <c r="AJ24" t="str">
        <f>IF('Cosa manca'!E24="","",'Cosa manca'!E24)</f>
        <v>ChIJ4ZDPCfHVj0gRMdAk-G55TXE</v>
      </c>
      <c r="AK24" t="s">
        <v>182</v>
      </c>
      <c r="AL24" t="str">
        <f>IF('Cosa manca'!F24="","",'Cosa manca'!F24)</f>
        <v/>
      </c>
      <c r="AM24" t="str">
        <f>IF('Cosa manca'!G24="","",'Cosa manca'!G24)</f>
        <v/>
      </c>
      <c r="AN24" t="str">
        <f>IF('Cosa manca'!H24="","",'Cosa manca'!H24)</f>
        <v>Sempre aperto</v>
      </c>
      <c r="AO24" t="str">
        <f>IF('Cosa manca'!I24="","",'Cosa manca'!I24)</f>
        <v>Cascata raggiungibile con una breve camminata su sentiero sterrato, talvolta fangoso.</v>
      </c>
      <c r="AP24" t="str">
        <f>IF('Cosa manca'!J24="","",'Cosa manca'!J24)</f>
        <v/>
      </c>
      <c r="AQ24" t="s">
        <v>63</v>
      </c>
      <c r="AS24" t="s">
        <v>37</v>
      </c>
      <c r="AT24">
        <v>0</v>
      </c>
      <c r="AU24" t="str">
        <f>IF('Cosa manca'!L24="SI","SI","")</f>
        <v/>
      </c>
    </row>
    <row r="25" spans="2:47" x14ac:dyDescent="0.2">
      <c r="B25" s="31"/>
      <c r="F25" s="32"/>
      <c r="H25" s="32"/>
      <c r="AA25" t="s">
        <v>184</v>
      </c>
      <c r="AB25">
        <f>IF('Cosa manca'!C25="","",'Cosa manca'!C25)</f>
        <v>46247</v>
      </c>
      <c r="AC25" t="str">
        <f>IF('Cosa manca'!B25="","",'Cosa manca'!B25)</f>
        <v>Tappa</v>
      </c>
      <c r="AD25" t="str">
        <f>IF('Cosa manca'!A25="","",'Cosa manca'!A25)</f>
        <v>Ullapool</v>
      </c>
      <c r="AE25" t="s">
        <v>33</v>
      </c>
      <c r="AF25">
        <f>IF('Cosa manca'!D25="","",'Cosa manca'!D25)</f>
        <v>0.74652777777777779</v>
      </c>
      <c r="AH25" s="30">
        <v>0.79166666666666663</v>
      </c>
      <c r="AI25" t="s">
        <v>57</v>
      </c>
      <c r="AJ25" t="str">
        <f>IF('Cosa manca'!E25="","",'Cosa manca'!E25)</f>
        <v>ChIJYbOnt_swjkgRDcjJAXOTxFk</v>
      </c>
      <c r="AK25" t="s">
        <v>187</v>
      </c>
      <c r="AL25" t="str">
        <f>IF('Cosa manca'!F25="","",'Cosa manca'!F25)</f>
        <v/>
      </c>
      <c r="AM25" t="str">
        <f>IF('Cosa manca'!G25="","",'Cosa manca'!G25)</f>
        <v/>
      </c>
      <c r="AN25" t="str">
        <f>IF('Cosa manca'!H25="","",'Cosa manca'!H25)</f>
        <v/>
      </c>
      <c r="AO25" t="str">
        <f>IF('Cosa manca'!I25="","",'Cosa manca'!I25)</f>
        <v>Cittadina portuale sulla costa nord-occidentale, imbarco dei traghetti per le Ebridi Esterne.</v>
      </c>
      <c r="AP25" t="str">
        <f>IF('Cosa manca'!J25="","",'Cosa manca'!J25)</f>
        <v/>
      </c>
      <c r="AQ25" t="s">
        <v>37</v>
      </c>
      <c r="AS25" t="s">
        <v>37</v>
      </c>
      <c r="AT25">
        <v>0</v>
      </c>
      <c r="AU25" t="str">
        <f>IF('Cosa manca'!L25="SI","SI","")</f>
        <v/>
      </c>
    </row>
    <row r="26" spans="2:47" x14ac:dyDescent="0.2">
      <c r="B26" s="31"/>
      <c r="F26" s="32"/>
      <c r="H26" s="32"/>
      <c r="AA26" t="s">
        <v>189</v>
      </c>
      <c r="AB26">
        <f>IF('Cosa manca'!C26="","",'Cosa manca'!C26)</f>
        <v>46247</v>
      </c>
      <c r="AC26" t="str">
        <f>IF('Cosa manca'!B26="","",'Cosa manca'!B26)</f>
        <v>Relax</v>
      </c>
      <c r="AD26" t="str">
        <f>IF('Cosa manca'!A26="","",'Cosa manca'!A26)</f>
        <v>Seafood Shack (Ullapool)</v>
      </c>
      <c r="AE26" t="s">
        <v>33</v>
      </c>
      <c r="AF26">
        <f>IF('Cosa manca'!D26="","",'Cosa manca'!D26)</f>
        <v>0.75</v>
      </c>
      <c r="AH26" s="30">
        <v>0.79166666666666663</v>
      </c>
      <c r="AI26" t="s">
        <v>191</v>
      </c>
      <c r="AJ26" t="str">
        <f>IF('Cosa manca'!E26="","",'Cosa manca'!E26)</f>
        <v>ChIJqfsPNCRIjkgRQf2FZxMX0RU</v>
      </c>
      <c r="AK26" t="s">
        <v>193</v>
      </c>
      <c r="AL26" t="str">
        <f>IF('Cosa manca'!F26="","",'Cosa manca'!F26)</f>
        <v/>
      </c>
      <c r="AM26" t="str">
        <f>IF('Cosa manca'!G26="","",'Cosa manca'!G26)</f>
        <v>10-20 £</v>
      </c>
      <c r="AN26" t="str">
        <f>IF('Cosa manca'!H26="","",'Cosa manca'!H26)</f>
        <v>12:00-20:00 (tutti i giorni)</v>
      </c>
      <c r="AO26" t="str">
        <f>IF('Cosa manca'!I26="","",'Cosa manca'!I26)</f>
        <v>Chiosco di pesce molto apprezzato a Ullapool, aperto fino alle 20:00: usato qui come tappa cena, non pranzo.</v>
      </c>
      <c r="AP26" t="str">
        <f>IF('Cosa manca'!J26="","",'Cosa manca'!J26)</f>
        <v/>
      </c>
      <c r="AQ26" t="s">
        <v>37</v>
      </c>
      <c r="AS26" t="s">
        <v>37</v>
      </c>
      <c r="AT26">
        <v>0</v>
      </c>
      <c r="AU26" t="str">
        <f>IF('Cosa manca'!L26="SI","SI","")</f>
        <v/>
      </c>
    </row>
    <row r="27" spans="2:47" x14ac:dyDescent="0.2">
      <c r="B27" s="31"/>
      <c r="F27" s="32"/>
      <c r="H27" s="32"/>
      <c r="AA27" t="s">
        <v>197</v>
      </c>
      <c r="AB27">
        <f>IF('Cosa manca'!C27="","",'Cosa manca'!C27)</f>
        <v>46247</v>
      </c>
      <c r="AC27" t="str">
        <f>IF('Cosa manca'!B27="","",'Cosa manca'!B27)</f>
        <v>Alloggio</v>
      </c>
      <c r="AD27" t="str">
        <f>IF('Cosa manca'!A27="","",'Cosa manca'!A27)</f>
        <v>Tidal Reach</v>
      </c>
      <c r="AE27" t="s">
        <v>33</v>
      </c>
      <c r="AF27">
        <f>IF('Cosa manca'!D27="","",'Cosa manca'!D27)</f>
        <v>0.93402777777777779</v>
      </c>
      <c r="AG27" t="s">
        <v>41</v>
      </c>
      <c r="AI27" t="s">
        <v>199</v>
      </c>
      <c r="AJ27" t="str">
        <f>IF('Cosa manca'!E27="","",'Cosa manca'!E27)</f>
        <v>ChIJo1hDAwCzjUgRCswRm6dW4U8</v>
      </c>
      <c r="AK27" t="s">
        <v>201</v>
      </c>
      <c r="AL27" t="str">
        <f>IF('Cosa manca'!F27="","",'Cosa manca'!F27)</f>
        <v/>
      </c>
      <c r="AM27" t="str">
        <f>IF('Cosa manca'!G27="","",'Cosa manca'!G27)</f>
        <v/>
      </c>
      <c r="AN27" t="str">
        <f>IF('Cosa manca'!H27="","",'Cosa manca'!H27)</f>
        <v/>
      </c>
      <c r="AO27" t="str">
        <f>IF('Cosa manca'!I27="","",'Cosa manca'!I27)</f>
        <v>Alloggio con uso cucina sull'Isola di Skye. ATTENZIONE: con le pause di guida incluse il check-in arriva a tarda sera; verificare con la struttura la possibilita di arrivo autonomo/self check-in.</v>
      </c>
      <c r="AP27" t="str">
        <f>IF('Cosa manca'!J27="","",'Cosa manca'!J27)</f>
        <v/>
      </c>
      <c r="AQ27" t="s">
        <v>37</v>
      </c>
      <c r="AS27" t="s">
        <v>37</v>
      </c>
      <c r="AT27">
        <v>0</v>
      </c>
      <c r="AU27" t="str">
        <f>IF('Cosa manca'!L27="SI","SI","")</f>
        <v/>
      </c>
    </row>
    <row r="28" spans="2:47" x14ac:dyDescent="0.2">
      <c r="B28" s="31"/>
      <c r="F28" s="32"/>
      <c r="H28" s="32"/>
      <c r="AA28" t="s">
        <v>203</v>
      </c>
      <c r="AB28">
        <f>IF('Cosa manca'!C28="","",'Cosa manca'!C28)</f>
        <v>46247</v>
      </c>
      <c r="AC28" t="str">
        <f>IF('Cosa manca'!B28="","",'Cosa manca'!B28)</f>
        <v>Attività</v>
      </c>
      <c r="AD28" t="str">
        <f>IF('Cosa manca'!A28="","",'Cosa manca'!A28)</f>
        <v>Bealach na Ba</v>
      </c>
      <c r="AE28" t="s">
        <v>103</v>
      </c>
      <c r="AF28" t="str">
        <f>IF('Cosa manca'!D28="","",'Cosa manca'!D28)</f>
        <v/>
      </c>
      <c r="AJ28" t="str">
        <f>IF('Cosa manca'!E28="","",'Cosa manca'!E28)</f>
        <v>ChIJGVMFmBiEjkgRQyUcmylOvDU</v>
      </c>
      <c r="AK28" t="s">
        <v>206</v>
      </c>
      <c r="AL28" t="str">
        <f>IF('Cosa manca'!F28="","",'Cosa manca'!F28)</f>
        <v/>
      </c>
      <c r="AM28" t="str">
        <f>IF('Cosa manca'!G28="","",'Cosa manca'!G28)</f>
        <v/>
      </c>
      <c r="AN28" t="str">
        <f>IF('Cosa manca'!H28="","",'Cosa manca'!H28)</f>
        <v/>
      </c>
      <c r="AO28" t="str">
        <f>IF('Cosa manca'!I28="","",'Cosa manca'!I28)</f>
        <v>Strada di montagna panoramica con tornanti, una delle salite piu spettacolari della Scozia.</v>
      </c>
      <c r="AP28" t="str">
        <f>IF('Cosa manca'!J28="","",'Cosa manca'!J28)</f>
        <v/>
      </c>
      <c r="AQ28" t="s">
        <v>63</v>
      </c>
      <c r="AR28" t="s">
        <v>109</v>
      </c>
      <c r="AS28" t="s">
        <v>37</v>
      </c>
      <c r="AT28">
        <v>0</v>
      </c>
      <c r="AU28" t="str">
        <f>IF('Cosa manca'!L28="SI","SI","")</f>
        <v/>
      </c>
    </row>
    <row r="29" spans="2:47" x14ac:dyDescent="0.2">
      <c r="B29" s="31"/>
      <c r="F29" s="32"/>
      <c r="H29" s="32"/>
      <c r="AA29" t="s">
        <v>208</v>
      </c>
      <c r="AB29">
        <f>IF('Cosa manca'!C29="","",'Cosa manca'!C29)</f>
        <v>46248</v>
      </c>
      <c r="AC29" t="str">
        <f>IF('Cosa manca'!B29="","",'Cosa manca'!B29)</f>
        <v>Attività</v>
      </c>
      <c r="AD29" t="str">
        <f>IF('Cosa manca'!A29="","",'Cosa manca'!A29)</f>
        <v>Old Man of Storr - Parcheggio</v>
      </c>
      <c r="AE29" t="s">
        <v>33</v>
      </c>
      <c r="AF29">
        <f>IF('Cosa manca'!D29="","",'Cosa manca'!D29)</f>
        <v>0.37847222222222221</v>
      </c>
      <c r="AH29" s="30">
        <v>0.46527777777777779</v>
      </c>
      <c r="AI29" t="s">
        <v>210</v>
      </c>
      <c r="AJ29" t="str">
        <f>IF('Cosa manca'!E29="","",'Cosa manca'!E29)</f>
        <v>ChIJsafGmVnNjUgR655wsjZ5LX8</v>
      </c>
      <c r="AK29" t="s">
        <v>212</v>
      </c>
      <c r="AL29" t="str">
        <f>IF('Cosa manca'!F29="","",'Cosa manca'!F29)</f>
        <v/>
      </c>
      <c r="AM29" t="str">
        <f>IF('Cosa manca'!G29="","",'Cosa manca'!G29)</f>
        <v>~8 £ / 6h</v>
      </c>
      <c r="AN29" t="str">
        <f>IF('Cosa manca'!H29="","",'Cosa manca'!H29)</f>
        <v>Sempre aperto</v>
      </c>
      <c r="AO29" t="str">
        <f>IF('Cosa manca'!I29="","",'Cosa manca'!I29)</f>
        <v>Trekking all'Old Man of Storr: ~3,8 km a/r, sentiero ripido nella parte finale, molto panoramico. Partenza dal parcheggio.</v>
      </c>
      <c r="AP29" t="str">
        <f>IF('Cosa manca'!J29="","",'Cosa manca'!J29)</f>
        <v/>
      </c>
      <c r="AQ29" t="s">
        <v>63</v>
      </c>
      <c r="AR29" t="s">
        <v>109</v>
      </c>
      <c r="AS29" t="s">
        <v>37</v>
      </c>
      <c r="AT29">
        <v>0</v>
      </c>
      <c r="AU29" t="str">
        <f>IF('Cosa manca'!L29="SI","SI","")</f>
        <v/>
      </c>
    </row>
    <row r="30" spans="2:47" x14ac:dyDescent="0.2">
      <c r="B30" s="31"/>
      <c r="F30" s="32"/>
      <c r="H30" s="32"/>
      <c r="AA30" t="s">
        <v>215</v>
      </c>
      <c r="AB30">
        <f>IF('Cosa manca'!C30="","",'Cosa manca'!C30)</f>
        <v>46248</v>
      </c>
      <c r="AC30" t="str">
        <f>IF('Cosa manca'!B30="","",'Cosa manca'!B30)</f>
        <v>Tappa</v>
      </c>
      <c r="AD30" t="str">
        <f>IF('Cosa manca'!A30="","",'Cosa manca'!A30)</f>
        <v>Portree</v>
      </c>
      <c r="AE30" t="s">
        <v>33</v>
      </c>
      <c r="AF30">
        <f>IF('Cosa manca'!D30="","",'Cosa manca'!D30)</f>
        <v>0.47569444444444442</v>
      </c>
      <c r="AH30" s="30">
        <v>0.55208333333333337</v>
      </c>
      <c r="AI30" t="s">
        <v>57</v>
      </c>
      <c r="AJ30" t="str">
        <f>IF('Cosa manca'!E30="","",'Cosa manca'!E30)</f>
        <v>ChIJHQfTm-EvjEgRFWk4InoLHRA</v>
      </c>
      <c r="AK30" t="s">
        <v>218</v>
      </c>
      <c r="AL30" t="str">
        <f>IF('Cosa manca'!F30="","",'Cosa manca'!F30)</f>
        <v/>
      </c>
      <c r="AM30" t="str">
        <f>IF('Cosa manca'!G30="","",'Cosa manca'!G30)</f>
        <v/>
      </c>
      <c r="AN30" t="str">
        <f>IF('Cosa manca'!H30="","",'Cosa manca'!H30)</f>
        <v/>
      </c>
      <c r="AO30" t="str">
        <f>IF('Cosa manca'!I30="","",'Cosa manca'!I30)</f>
        <v>Capoluogo dell'Isola di Skye, porto colorato e base per esplorare l'isola.</v>
      </c>
      <c r="AP30" t="str">
        <f>IF('Cosa manca'!J30="","",'Cosa manca'!J30)</f>
        <v/>
      </c>
      <c r="AQ30" t="s">
        <v>37</v>
      </c>
      <c r="AR30" t="s">
        <v>220</v>
      </c>
      <c r="AS30" t="s">
        <v>37</v>
      </c>
      <c r="AT30">
        <v>0</v>
      </c>
      <c r="AU30" t="str">
        <f>IF('Cosa manca'!L30="SI","SI","")</f>
        <v/>
      </c>
    </row>
    <row r="31" spans="2:47" x14ac:dyDescent="0.2">
      <c r="B31" s="31"/>
      <c r="F31" s="32"/>
      <c r="H31" s="32"/>
      <c r="AA31" t="s">
        <v>221</v>
      </c>
      <c r="AB31">
        <f>IF('Cosa manca'!C31="","",'Cosa manca'!C31)</f>
        <v>46248</v>
      </c>
      <c r="AC31" t="str">
        <f>IF('Cosa manca'!B31="","",'Cosa manca'!B31)</f>
        <v>Relax</v>
      </c>
      <c r="AD31" t="str">
        <f>IF('Cosa manca'!A31="","",'Cosa manca'!A31)</f>
        <v>Sea Breezes (Portree) - pranzo</v>
      </c>
      <c r="AE31" t="s">
        <v>33</v>
      </c>
      <c r="AF31">
        <f>IF('Cosa manca'!D31="","",'Cosa manca'!D31)</f>
        <v>0.52083333333333337</v>
      </c>
      <c r="AH31" s="30">
        <v>0.55208333333333337</v>
      </c>
      <c r="AI31" t="s">
        <v>57</v>
      </c>
      <c r="AJ31" t="str">
        <f>IF('Cosa manca'!E31="","",'Cosa manca'!E31)</f>
        <v>ChIJw0BBvC0yjEgRNVtV9vap2a0</v>
      </c>
      <c r="AK31" t="s">
        <v>224</v>
      </c>
      <c r="AL31" t="str">
        <f>IF('Cosa manca'!F31="","",'Cosa manca'!F31)</f>
        <v/>
      </c>
      <c r="AM31" t="str">
        <f>IF('Cosa manca'!G31="","",'Cosa manca'!G31)</f>
        <v/>
      </c>
      <c r="AN31" t="str">
        <f>IF('Cosa manca'!H31="","",'Cosa manca'!H31)</f>
        <v>12:00-14:00 e 17:30-21:00 (venerdi)</v>
      </c>
      <c r="AO31" t="str">
        <f>IF('Cosa manca'!I31="","",'Cosa manca'!I31)</f>
        <v>Ristorante di pesce molto popolare sul porto di Portree; consigliato arrivare presto, si formano code.</v>
      </c>
      <c r="AP31" t="str">
        <f>IF('Cosa manca'!J31="","",'Cosa manca'!J31)</f>
        <v>+44 1478 612016</v>
      </c>
      <c r="AQ31" t="s">
        <v>37</v>
      </c>
      <c r="AS31" t="s">
        <v>37</v>
      </c>
      <c r="AT31">
        <v>0</v>
      </c>
      <c r="AU31" t="str">
        <f>IF('Cosa manca'!L31="SI","SI","")</f>
        <v/>
      </c>
    </row>
    <row r="32" spans="2:47" x14ac:dyDescent="0.2">
      <c r="B32" s="31"/>
      <c r="F32" s="32"/>
      <c r="H32" s="32"/>
      <c r="AA32" t="s">
        <v>228</v>
      </c>
      <c r="AB32">
        <f>IF('Cosa manca'!C32="","",'Cosa manca'!C32)</f>
        <v>46248</v>
      </c>
      <c r="AC32" t="str">
        <f>IF('Cosa manca'!B32="","",'Cosa manca'!B32)</f>
        <v>Attività</v>
      </c>
      <c r="AD32" t="str">
        <f>IF('Cosa manca'!A32="","",'Cosa manca'!A32)</f>
        <v>Fairy Pools</v>
      </c>
      <c r="AE32" t="s">
        <v>33</v>
      </c>
      <c r="AF32">
        <f>IF('Cosa manca'!D32="","",'Cosa manca'!D32)</f>
        <v>0.58680555555555558</v>
      </c>
      <c r="AH32" s="30">
        <v>0.64930555555555558</v>
      </c>
      <c r="AI32" t="s">
        <v>57</v>
      </c>
      <c r="AJ32" t="str">
        <f>IF('Cosa manca'!E32="","",'Cosa manca'!E32)</f>
        <v>ChIJEd0VoW05jEgRffGsm5G5y34</v>
      </c>
      <c r="AK32" t="s">
        <v>231</v>
      </c>
      <c r="AL32" t="str">
        <f>IF('Cosa manca'!F32="","",'Cosa manca'!F32)</f>
        <v/>
      </c>
      <c r="AM32" t="str">
        <f>IF('Cosa manca'!G32="","",'Cosa manca'!G32)</f>
        <v>~8 £ parcheggio</v>
      </c>
      <c r="AN32" t="str">
        <f>IF('Cosa manca'!H32="","",'Cosa manca'!H32)</f>
        <v/>
      </c>
      <c r="AO32" t="str">
        <f>IF('Cosa manca'!I32="","",'Cosa manca'!I32)</f>
        <v>Pozze naturali di acqua cristallina raggiungibili con una camminata panoramica sull'Isola di Skye.</v>
      </c>
      <c r="AP32" t="str">
        <f>IF('Cosa manca'!J32="","",'Cosa manca'!J32)</f>
        <v/>
      </c>
      <c r="AQ32" t="s">
        <v>63</v>
      </c>
      <c r="AS32" t="s">
        <v>37</v>
      </c>
      <c r="AT32">
        <v>0</v>
      </c>
      <c r="AU32" t="str">
        <f>IF('Cosa manca'!L32="SI","SI","")</f>
        <v/>
      </c>
    </row>
    <row r="33" spans="2:47" x14ac:dyDescent="0.2">
      <c r="B33" s="31"/>
      <c r="F33" s="32"/>
      <c r="H33" s="32"/>
      <c r="AA33" t="s">
        <v>234</v>
      </c>
      <c r="AB33">
        <f>IF('Cosa manca'!C33="","",'Cosa manca'!C33)</f>
        <v>46248</v>
      </c>
      <c r="AC33" t="str">
        <f>IF('Cosa manca'!B33="","",'Cosa manca'!B33)</f>
        <v>Attività</v>
      </c>
      <c r="AD33" t="str">
        <f>IF('Cosa manca'!A33="","",'Cosa manca'!A33)</f>
        <v>Talisker Distillery</v>
      </c>
      <c r="AE33" t="s">
        <v>33</v>
      </c>
      <c r="AF33">
        <f>IF('Cosa manca'!D33="","",'Cosa manca'!D33)</f>
        <v>0.66666666666666663</v>
      </c>
      <c r="AH33" s="30">
        <v>0.70833333333333337</v>
      </c>
      <c r="AI33" t="s">
        <v>57</v>
      </c>
      <c r="AJ33" t="str">
        <f>IF('Cosa manca'!E33="","",'Cosa manca'!E33)</f>
        <v>ChIJE9KVQQI4jEgRiTTmjkiThc0</v>
      </c>
      <c r="AK33" t="s">
        <v>237</v>
      </c>
      <c r="AL33" t="str">
        <f>IF('Cosa manca'!F33="","",'Cosa manca'!F33)</f>
        <v/>
      </c>
      <c r="AM33" t="str">
        <f>IF('Cosa manca'!G33="","",'Cosa manca'!G33)</f>
        <v/>
      </c>
      <c r="AN33" t="str">
        <f>IF('Cosa manca'!H33="","",'Cosa manca'!H33)</f>
        <v>10:00-17:00 (tutti i giorni)</v>
      </c>
      <c r="AO33" t="str">
        <f>IF('Cosa manca'!I33="","",'Cosa manca'!I33)</f>
        <v>Storica distilleria di whisky sull'Isola di Skye, affacciata sul mare.</v>
      </c>
      <c r="AP33" t="str">
        <f>IF('Cosa manca'!J33="","",'Cosa manca'!J33)</f>
        <v>+44 1478 614308</v>
      </c>
      <c r="AQ33" t="s">
        <v>37</v>
      </c>
      <c r="AR33" t="s">
        <v>220</v>
      </c>
      <c r="AS33" t="s">
        <v>37</v>
      </c>
      <c r="AT33">
        <v>0</v>
      </c>
      <c r="AU33" t="str">
        <f>IF('Cosa manca'!L33="SI","SI","")</f>
        <v/>
      </c>
    </row>
    <row r="34" spans="2:47" x14ac:dyDescent="0.2">
      <c r="B34" s="31"/>
      <c r="F34" s="32"/>
      <c r="H34" s="32"/>
      <c r="AA34" t="s">
        <v>240</v>
      </c>
      <c r="AB34">
        <f>IF('Cosa manca'!C34="","",'Cosa manca'!C34)</f>
        <v>46248</v>
      </c>
      <c r="AC34" t="str">
        <f>IF('Cosa manca'!B34="","",'Cosa manca'!B34)</f>
        <v>Relax</v>
      </c>
      <c r="AD34" t="str">
        <f>IF('Cosa manca'!A34="","",'Cosa manca'!A34)</f>
        <v>The Bistro at Atholl House (Dunvegan) - cena</v>
      </c>
      <c r="AE34" t="s">
        <v>33</v>
      </c>
      <c r="AF34">
        <f>IF('Cosa manca'!D34="","",'Cosa manca'!D34)</f>
        <v>0.75</v>
      </c>
      <c r="AH34" s="30">
        <v>0.80555555555555558</v>
      </c>
      <c r="AI34" t="s">
        <v>57</v>
      </c>
      <c r="AJ34" t="str">
        <f>IF('Cosa manca'!E34="","",'Cosa manca'!E34)</f>
        <v>ChIJL1MQW91NjEgRyrzKxb3IWm8</v>
      </c>
      <c r="AK34" t="s">
        <v>243</v>
      </c>
      <c r="AL34" t="str">
        <f>IF('Cosa manca'!F34="","",'Cosa manca'!F34)</f>
        <v/>
      </c>
      <c r="AM34" t="str">
        <f>IF('Cosa manca'!G34="","",'Cosa manca'!G34)</f>
        <v/>
      </c>
      <c r="AN34" t="str">
        <f>IF('Cosa manca'!H34="","",'Cosa manca'!H34)</f>
        <v>17:00-19:30 (venerdi, ultimo ordine)</v>
      </c>
      <c r="AO34" t="str">
        <f>IF('Cosa manca'!I34="","",'Cosa manca'!I34)</f>
        <v>Piccolo bistrot vicino a Tidal Reach, cucina locale. Chiude alle 19:30: prenotare in anticipo. Dopo cena, ~20 min fino a Neist Point per il tramonto.</v>
      </c>
      <c r="AP34" t="str">
        <f>IF('Cosa manca'!J34="","",'Cosa manca'!J34)</f>
        <v>+44 1470 521810</v>
      </c>
      <c r="AQ34" t="s">
        <v>37</v>
      </c>
      <c r="AS34" t="s">
        <v>37</v>
      </c>
      <c r="AT34">
        <v>0</v>
      </c>
      <c r="AU34" t="str">
        <f>IF('Cosa manca'!L34="SI","SI","")</f>
        <v/>
      </c>
    </row>
    <row r="35" spans="2:47" x14ac:dyDescent="0.2">
      <c r="B35" s="31"/>
      <c r="F35" s="32"/>
      <c r="H35" s="32"/>
      <c r="AA35" t="s">
        <v>247</v>
      </c>
      <c r="AB35">
        <f>IF('Cosa manca'!C35="","",'Cosa manca'!C35)</f>
        <v>46248</v>
      </c>
      <c r="AC35" t="str">
        <f>IF('Cosa manca'!B35="","",'Cosa manca'!B35)</f>
        <v>Attività</v>
      </c>
      <c r="AD35" t="str">
        <f>IF('Cosa manca'!A35="","",'Cosa manca'!A35)</f>
        <v>Neist Point</v>
      </c>
      <c r="AE35" t="s">
        <v>33</v>
      </c>
      <c r="AF35">
        <f>IF('Cosa manca'!D35="","",'Cosa manca'!D35)</f>
        <v>0.82291666666666663</v>
      </c>
      <c r="AG35" t="s">
        <v>249</v>
      </c>
      <c r="AH35" s="30">
        <v>0.88541666666666663</v>
      </c>
      <c r="AI35" t="s">
        <v>57</v>
      </c>
      <c r="AJ35" t="str">
        <f>IF('Cosa manca'!E35="","",'Cosa manca'!E35)</f>
        <v>ChIJGzTtLIJUjEgRqkiiM77pK1c</v>
      </c>
      <c r="AK35" t="s">
        <v>251</v>
      </c>
      <c r="AL35" t="str">
        <f>IF('Cosa manca'!F35="","",'Cosa manca'!F35)</f>
        <v/>
      </c>
      <c r="AM35" t="str">
        <f>IF('Cosa manca'!G35="","",'Cosa manca'!G35)</f>
        <v/>
      </c>
      <c r="AN35" t="str">
        <f>IF('Cosa manca'!H35="","",'Cosa manca'!H35)</f>
        <v/>
      </c>
      <c r="AO35" t="str">
        <f>IF('Cosa manca'!I35="","",'Cosa manca'!I35)</f>
        <v>Faro all'estremita occidentale di Skye, punto panoramico spettacolare sulle scogliere.</v>
      </c>
      <c r="AP35" t="str">
        <f>IF('Cosa manca'!J35="","",'Cosa manca'!J35)</f>
        <v/>
      </c>
      <c r="AQ35" t="s">
        <v>63</v>
      </c>
      <c r="AS35" t="s">
        <v>37</v>
      </c>
      <c r="AT35">
        <v>0</v>
      </c>
      <c r="AU35" t="str">
        <f>IF('Cosa manca'!L35="SI","SI","")</f>
        <v/>
      </c>
    </row>
    <row r="36" spans="2:47" x14ac:dyDescent="0.2">
      <c r="B36" s="31"/>
      <c r="F36" s="32"/>
      <c r="H36" s="32"/>
      <c r="AA36" t="s">
        <v>253</v>
      </c>
      <c r="AB36">
        <f>IF('Cosa manca'!C36="","",'Cosa manca'!C36)</f>
        <v>46248</v>
      </c>
      <c r="AC36" t="str">
        <f>IF('Cosa manca'!B36="","",'Cosa manca'!B36)</f>
        <v>Attività</v>
      </c>
      <c r="AD36" t="str">
        <f>IF('Cosa manca'!A36="","",'Cosa manca'!A36)</f>
        <v>Coral Beach</v>
      </c>
      <c r="AE36" t="s">
        <v>103</v>
      </c>
      <c r="AF36" t="str">
        <f>IF('Cosa manca'!D36="","",'Cosa manca'!D36)</f>
        <v/>
      </c>
      <c r="AJ36" t="str">
        <f>IF('Cosa manca'!E36="","",'Cosa manca'!E36)</f>
        <v>ChIJTVC0He2yjUgRVR5Phm_3r-A</v>
      </c>
      <c r="AK36" t="s">
        <v>256</v>
      </c>
      <c r="AL36" t="str">
        <f>IF('Cosa manca'!F36="","",'Cosa manca'!F36)</f>
        <v/>
      </c>
      <c r="AM36" t="str">
        <f>IF('Cosa manca'!G36="","",'Cosa manca'!G36)</f>
        <v/>
      </c>
      <c r="AN36" t="str">
        <f>IF('Cosa manca'!H36="","",'Cosa manca'!H36)</f>
        <v/>
      </c>
      <c r="AO36" t="str">
        <f>IF('Cosa manca'!I36="","",'Cosa manca'!I36)</f>
        <v>Spiaggia bianca formata da alghe coralline fossili, vicino a Dunvegan sull'Isola di Skye.</v>
      </c>
      <c r="AP36" t="str">
        <f>IF('Cosa manca'!J36="","",'Cosa manca'!J36)</f>
        <v/>
      </c>
      <c r="AQ36" t="s">
        <v>63</v>
      </c>
      <c r="AR36" t="s">
        <v>109</v>
      </c>
      <c r="AS36" t="s">
        <v>37</v>
      </c>
      <c r="AT36">
        <v>0</v>
      </c>
      <c r="AU36" t="str">
        <f>IF('Cosa manca'!L36="SI","SI","")</f>
        <v/>
      </c>
    </row>
    <row r="37" spans="2:47" x14ac:dyDescent="0.2">
      <c r="B37" s="31"/>
      <c r="F37" s="32"/>
      <c r="H37" s="32"/>
      <c r="AA37" t="s">
        <v>258</v>
      </c>
      <c r="AB37">
        <f>IF('Cosa manca'!C37="","",'Cosa manca'!C37)</f>
        <v>46248</v>
      </c>
      <c r="AC37" t="str">
        <f>IF('Cosa manca'!B37="","",'Cosa manca'!B37)</f>
        <v>Attività</v>
      </c>
      <c r="AD37" t="str">
        <f>IF('Cosa manca'!A37="","",'Cosa manca'!A37)</f>
        <v>Quiraing</v>
      </c>
      <c r="AE37" t="s">
        <v>103</v>
      </c>
      <c r="AF37" t="str">
        <f>IF('Cosa manca'!D37="","",'Cosa manca'!D37)</f>
        <v/>
      </c>
      <c r="AJ37" t="str">
        <f>IF('Cosa manca'!E37="","",'Cosa manca'!E37)</f>
        <v>ChIJ22ustw3PjUgRh-UmIClXt4E</v>
      </c>
      <c r="AK37" t="s">
        <v>261</v>
      </c>
      <c r="AL37" t="str">
        <f>IF('Cosa manca'!F37="","",'Cosa manca'!F37)</f>
        <v/>
      </c>
      <c r="AM37" t="str">
        <f>IF('Cosa manca'!G37="","",'Cosa manca'!G37)</f>
        <v/>
      </c>
      <c r="AN37" t="str">
        <f>IF('Cosa manca'!H37="","",'Cosa manca'!H37)</f>
        <v/>
      </c>
      <c r="AO37" t="str">
        <f>IF('Cosa manca'!I37="","",'Cosa manca'!I37)</f>
        <v>Paesaggio roccioso surreale nel nord di Skye, percorso escursionistico panoramico.</v>
      </c>
      <c r="AP37" t="str">
        <f>IF('Cosa manca'!J37="","",'Cosa manca'!J37)</f>
        <v/>
      </c>
      <c r="AQ37" t="s">
        <v>63</v>
      </c>
      <c r="AR37" t="s">
        <v>109</v>
      </c>
      <c r="AS37" t="s">
        <v>37</v>
      </c>
      <c r="AT37">
        <v>0</v>
      </c>
      <c r="AU37" t="str">
        <f>IF('Cosa manca'!L37="SI","SI","")</f>
        <v/>
      </c>
    </row>
    <row r="38" spans="2:47" x14ac:dyDescent="0.2">
      <c r="B38" s="31"/>
      <c r="F38" s="32"/>
      <c r="H38" s="32"/>
      <c r="AA38" t="s">
        <v>263</v>
      </c>
      <c r="AB38">
        <f>IF('Cosa manca'!C38="","",'Cosa manca'!C38)</f>
        <v>46248</v>
      </c>
      <c r="AC38" t="str">
        <f>IF('Cosa manca'!B38="","",'Cosa manca'!B38)</f>
        <v>Attività</v>
      </c>
      <c r="AD38" t="str">
        <f>IF('Cosa manca'!A38="","",'Cosa manca'!A38)</f>
        <v>South Skye Sea Kayak</v>
      </c>
      <c r="AE38" t="s">
        <v>103</v>
      </c>
      <c r="AF38" t="str">
        <f>IF('Cosa manca'!D38="","",'Cosa manca'!D38)</f>
        <v/>
      </c>
      <c r="AJ38" t="str">
        <f>IF('Cosa manca'!E38="","",'Cosa manca'!E38)</f>
        <v>ChIJ1S8tIXUfjEgRW5381Wm3lTw</v>
      </c>
      <c r="AK38" t="s">
        <v>266</v>
      </c>
      <c r="AL38" t="str">
        <f>IF('Cosa manca'!F38="","",'Cosa manca'!F38)</f>
        <v/>
      </c>
      <c r="AM38" t="str">
        <f>IF('Cosa manca'!G38="","",'Cosa manca'!G38)</f>
        <v/>
      </c>
      <c r="AN38" t="str">
        <f>IF('Cosa manca'!H38="","",'Cosa manca'!H38)</f>
        <v>08:00-20:00 (tutti i giorni)</v>
      </c>
      <c r="AO38" t="str">
        <f>IF('Cosa manca'!I38="","",'Cosa manca'!I38)</f>
        <v>Escursioni guidate in kayak lungo la costa sud dell'Isola di Skye. (Nella bozza iniziale era pensato per il pomeriggio di arrivo a Skye; con solo 2 notti su Skye e difficile trovargli spazio senza sacrificare altro. Richiede comunque prenotazione anticipata.)</v>
      </c>
      <c r="AP38" t="str">
        <f>IF('Cosa manca'!J38="","",'Cosa manca'!J38)</f>
        <v>+44 7592 059577</v>
      </c>
      <c r="AQ38" t="s">
        <v>63</v>
      </c>
      <c r="AR38" t="s">
        <v>109</v>
      </c>
      <c r="AS38" t="s">
        <v>37</v>
      </c>
      <c r="AT38">
        <v>0</v>
      </c>
      <c r="AU38" t="str">
        <f>IF('Cosa manca'!L38="SI","SI","")</f>
        <v/>
      </c>
    </row>
    <row r="39" spans="2:47" x14ac:dyDescent="0.2">
      <c r="B39" s="31"/>
      <c r="F39" s="32"/>
      <c r="H39" s="32"/>
      <c r="AA39" t="s">
        <v>270</v>
      </c>
      <c r="AB39">
        <f>IF('Cosa manca'!C39="","",'Cosa manca'!C39)</f>
        <v>46248</v>
      </c>
      <c r="AC39" t="str">
        <f>IF('Cosa manca'!B39="","",'Cosa manca'!B39)</f>
        <v>Attività</v>
      </c>
      <c r="AD39" t="str">
        <f>IF('Cosa manca'!A39="","",'Cosa manca'!A39)</f>
        <v>The Storr</v>
      </c>
      <c r="AE39" t="s">
        <v>103</v>
      </c>
      <c r="AF39" t="str">
        <f>IF('Cosa manca'!D39="","",'Cosa manca'!D39)</f>
        <v/>
      </c>
      <c r="AJ39" t="str">
        <f>IF('Cosa manca'!E39="","",'Cosa manca'!E39)</f>
        <v>ChIJl4aNAUfNjUgRFRlDXomKKGk</v>
      </c>
      <c r="AK39" t="s">
        <v>273</v>
      </c>
      <c r="AL39" t="str">
        <f>IF('Cosa manca'!F39="","",'Cosa manca'!F39)</f>
        <v/>
      </c>
      <c r="AM39" t="str">
        <f>IF('Cosa manca'!G39="","",'Cosa manca'!G39)</f>
        <v/>
      </c>
      <c r="AN39" t="str">
        <f>IF('Cosa manca'!H39="","",'Cosa manca'!H39)</f>
        <v/>
      </c>
      <c r="AO39" t="str">
        <f>IF('Cosa manca'!I39="","",'Cosa manca'!I39)</f>
        <v>Stesso trekking dell'Old Man of Storr (vedi riga 'Old Man of Storr - Parcheggio'): qui lasciato come riferimento/alternativa.</v>
      </c>
      <c r="AP39" t="str">
        <f>IF('Cosa manca'!J39="","",'Cosa manca'!J39)</f>
        <v/>
      </c>
      <c r="AQ39" t="s">
        <v>63</v>
      </c>
      <c r="AR39" t="s">
        <v>109</v>
      </c>
      <c r="AS39" t="s">
        <v>37</v>
      </c>
      <c r="AT39">
        <v>0</v>
      </c>
      <c r="AU39" t="str">
        <f>IF('Cosa manca'!L39="SI","SI","")</f>
        <v/>
      </c>
    </row>
    <row r="40" spans="2:47" x14ac:dyDescent="0.2">
      <c r="B40" s="31"/>
      <c r="F40" s="32"/>
      <c r="H40" s="32"/>
      <c r="AA40" t="s">
        <v>275</v>
      </c>
      <c r="AB40">
        <f>IF('Cosa manca'!C40="","",'Cosa manca'!C40)</f>
        <v>46249</v>
      </c>
      <c r="AC40" t="str">
        <f>IF('Cosa manca'!B40="","",'Cosa manca'!B40)</f>
        <v>Attività</v>
      </c>
      <c r="AD40" t="str">
        <f>IF('Cosa manca'!A40="","",'Cosa manca'!A40)</f>
        <v>Eilean Donan Castle</v>
      </c>
      <c r="AE40" t="s">
        <v>33</v>
      </c>
      <c r="AF40">
        <f>IF('Cosa manca'!D40="","",'Cosa manca'!D40)</f>
        <v>0.41666666666666669</v>
      </c>
      <c r="AH40" s="30">
        <v>0.46875</v>
      </c>
      <c r="AI40" t="s">
        <v>57</v>
      </c>
      <c r="AJ40" t="str">
        <f>IF('Cosa manca'!E40="","",'Cosa manca'!E40)</f>
        <v>ChIJjZMtqxmRjkgR02W__JeNI7M</v>
      </c>
      <c r="AK40" t="s">
        <v>278</v>
      </c>
      <c r="AL40" t="str">
        <f>IF('Cosa manca'!F40="","",'Cosa manca'!F40)</f>
        <v/>
      </c>
      <c r="AM40" t="str">
        <f>IF('Cosa manca'!G40="","",'Cosa manca'!G40)</f>
        <v/>
      </c>
      <c r="AN40" t="str">
        <f>IF('Cosa manca'!H40="","",'Cosa manca'!H40)</f>
        <v>09:00-17:00 (tutti i giorni)</v>
      </c>
      <c r="AO40" t="str">
        <f>IF('Cosa manca'!I40="","",'Cosa manca'!I40)</f>
        <v>Uno dei castelli piu fotografati di Scozia, su un isolotto alla confluenza di tre laghi.</v>
      </c>
      <c r="AP40" t="str">
        <f>IF('Cosa manca'!J40="","",'Cosa manca'!J40)</f>
        <v>+44 1599 555202</v>
      </c>
      <c r="AQ40" t="s">
        <v>63</v>
      </c>
      <c r="AS40" t="s">
        <v>37</v>
      </c>
      <c r="AT40">
        <v>0</v>
      </c>
      <c r="AU40" t="str">
        <f>IF('Cosa manca'!L40="SI","SI","")</f>
        <v/>
      </c>
    </row>
    <row r="41" spans="2:47" x14ac:dyDescent="0.2">
      <c r="B41" s="31"/>
      <c r="F41" s="32"/>
      <c r="H41" s="32"/>
      <c r="AA41" t="s">
        <v>282</v>
      </c>
      <c r="AB41">
        <f>IF('Cosa manca'!C41="","",'Cosa manca'!C41)</f>
        <v>46249</v>
      </c>
      <c r="AC41" t="str">
        <f>IF('Cosa manca'!B41="","",'Cosa manca'!B41)</f>
        <v>Tappa</v>
      </c>
      <c r="AD41" t="str">
        <f>IF('Cosa manca'!A41="","",'Cosa manca'!A41)</f>
        <v>Fort William</v>
      </c>
      <c r="AE41" t="s">
        <v>33</v>
      </c>
      <c r="AF41">
        <f>IF('Cosa manca'!D41="","",'Cosa manca'!D41)</f>
        <v>0.53819444444444442</v>
      </c>
      <c r="AH41" s="30">
        <v>0.58333333333333337</v>
      </c>
      <c r="AI41" t="s">
        <v>57</v>
      </c>
      <c r="AJ41" t="str">
        <f>IF('Cosa manca'!E41="","",'Cosa manca'!E41)</f>
        <v>ChIJGwMcNyMziUgRIUhUCOM-oM0</v>
      </c>
      <c r="AK41" t="s">
        <v>285</v>
      </c>
      <c r="AL41" t="str">
        <f>IF('Cosa manca'!F41="","",'Cosa manca'!F41)</f>
        <v/>
      </c>
      <c r="AM41" t="str">
        <f>IF('Cosa manca'!G41="","",'Cosa manca'!G41)</f>
        <v/>
      </c>
      <c r="AN41" t="str">
        <f>IF('Cosa manca'!H41="","",'Cosa manca'!H41)</f>
        <v/>
      </c>
      <c r="AO41" t="str">
        <f>IF('Cosa manca'!I41="","",'Cosa manca'!I41)</f>
        <v>Cittadina ai piedi del Ben Nevis, base per Glencoe e le Highlands occidentali.</v>
      </c>
      <c r="AP41" t="str">
        <f>IF('Cosa manca'!J41="","",'Cosa manca'!J41)</f>
        <v/>
      </c>
      <c r="AQ41" t="s">
        <v>37</v>
      </c>
      <c r="AS41" t="s">
        <v>37</v>
      </c>
      <c r="AT41">
        <v>0</v>
      </c>
      <c r="AU41" t="str">
        <f>IF('Cosa manca'!L41="SI","SI","")</f>
        <v/>
      </c>
    </row>
    <row r="42" spans="2:47" x14ac:dyDescent="0.2">
      <c r="B42" s="31"/>
      <c r="F42" s="32"/>
      <c r="H42" s="32"/>
      <c r="AA42" t="s">
        <v>287</v>
      </c>
      <c r="AB42">
        <f>IF('Cosa manca'!C42="","",'Cosa manca'!C42)</f>
        <v>46249</v>
      </c>
      <c r="AC42" t="str">
        <f>IF('Cosa manca'!B42="","",'Cosa manca'!B42)</f>
        <v>Relax</v>
      </c>
      <c r="AD42" t="str">
        <f>IF('Cosa manca'!A42="","",'Cosa manca'!A42)</f>
        <v>The Geographer (Fort William) - pranzo</v>
      </c>
      <c r="AE42" t="s">
        <v>33</v>
      </c>
      <c r="AF42">
        <f>IF('Cosa manca'!D42="","",'Cosa manca'!D42)</f>
        <v>0.54166666666666663</v>
      </c>
      <c r="AH42" s="30">
        <v>0.58333333333333337</v>
      </c>
      <c r="AI42" t="s">
        <v>57</v>
      </c>
      <c r="AJ42" t="str">
        <f>IF('Cosa manca'!E42="","",'Cosa manca'!E42)</f>
        <v>ChIJkfh3NqvMjkgRHmPixSmuz68</v>
      </c>
      <c r="AK42" t="s">
        <v>290</v>
      </c>
      <c r="AL42" t="str">
        <f>IF('Cosa manca'!F42="","",'Cosa manca'!F42)</f>
        <v/>
      </c>
      <c r="AM42" t="str">
        <f>IF('Cosa manca'!G42="","",'Cosa manca'!G42)</f>
        <v/>
      </c>
      <c r="AN42" t="str">
        <f>IF('Cosa manca'!H42="","",'Cosa manca'!H42)</f>
        <v>12:00-14:00 e 17:00-21:00 (sabato)</v>
      </c>
      <c r="AO42" t="str">
        <f>IF('Cosa manca'!I42="","",'Cosa manca'!I42)</f>
        <v>Bistrot molto ben valutato sulla via principale di Fort William.</v>
      </c>
      <c r="AP42" t="str">
        <f>IF('Cosa manca'!J42="","",'Cosa manca'!J42)</f>
        <v>+44 1397 705011</v>
      </c>
      <c r="AQ42" t="s">
        <v>37</v>
      </c>
      <c r="AS42" t="s">
        <v>37</v>
      </c>
      <c r="AT42">
        <v>0</v>
      </c>
      <c r="AU42" t="str">
        <f>IF('Cosa manca'!L42="SI","SI","")</f>
        <v/>
      </c>
    </row>
    <row r="43" spans="2:47" x14ac:dyDescent="0.2">
      <c r="B43" s="31"/>
      <c r="F43" s="32"/>
      <c r="H43" s="32"/>
      <c r="AA43" t="s">
        <v>294</v>
      </c>
      <c r="AB43">
        <f>IF('Cosa manca'!C43="","",'Cosa manca'!C43)</f>
        <v>46249</v>
      </c>
      <c r="AC43" t="str">
        <f>IF('Cosa manca'!B43="","",'Cosa manca'!B43)</f>
        <v>Attività</v>
      </c>
      <c r="AD43" t="str">
        <f>IF('Cosa manca'!A43="","",'Cosa manca'!A43)</f>
        <v>Coire Gabhail (Lost Valley)</v>
      </c>
      <c r="AE43" t="s">
        <v>33</v>
      </c>
      <c r="AF43">
        <f>IF('Cosa manca'!D43="","",'Cosa manca'!D43)</f>
        <v>0.60763888888888884</v>
      </c>
      <c r="AH43" s="30">
        <v>0.69097222222222221</v>
      </c>
      <c r="AI43" t="s">
        <v>57</v>
      </c>
      <c r="AJ43" t="str">
        <f>IF('Cosa manca'!E43="","",'Cosa manca'!E43)</f>
        <v>ChIJN5IGzhIwiUgRGpdPXeg0P4s</v>
      </c>
      <c r="AK43" t="s">
        <v>297</v>
      </c>
      <c r="AL43" t="str">
        <f>IF('Cosa manca'!F43="","",'Cosa manca'!F43)</f>
        <v/>
      </c>
      <c r="AM43" t="str">
        <f>IF('Cosa manca'!G43="","",'Cosa manca'!G43)</f>
        <v/>
      </c>
      <c r="AN43" t="str">
        <f>IF('Cosa manca'!H43="","",'Cosa manca'!H43)</f>
        <v/>
      </c>
      <c r="AO43" t="str">
        <f>IF('Cosa manca'!I43="","",'Cosa manca'!I43)</f>
        <v>Valle nascosta a Glencoe, escursione con un breve tratto di arrampicata leggera.</v>
      </c>
      <c r="AP43" t="str">
        <f>IF('Cosa manca'!J43="","",'Cosa manca'!J43)</f>
        <v/>
      </c>
      <c r="AQ43" t="s">
        <v>63</v>
      </c>
      <c r="AS43" t="s">
        <v>37</v>
      </c>
      <c r="AT43">
        <v>0</v>
      </c>
      <c r="AU43" t="str">
        <f>IF('Cosa manca'!L43="SI","SI","")</f>
        <v/>
      </c>
    </row>
    <row r="44" spans="2:47" x14ac:dyDescent="0.2">
      <c r="B44" s="31"/>
      <c r="F44" s="32"/>
      <c r="H44" s="32"/>
      <c r="AA44" t="s">
        <v>299</v>
      </c>
      <c r="AB44">
        <f>IF('Cosa manca'!C44="","",'Cosa manca'!C44)</f>
        <v>46249</v>
      </c>
      <c r="AC44" t="str">
        <f>IF('Cosa manca'!B44="","",'Cosa manca'!B44)</f>
        <v>Trasporto</v>
      </c>
      <c r="AD44" t="str">
        <f>IF('Cosa manca'!A44="","",'Cosa manca'!A44)</f>
        <v>4X4 Hire Scotland Ltd (riconsegna auto)</v>
      </c>
      <c r="AE44" t="s">
        <v>33</v>
      </c>
      <c r="AF44">
        <f>IF('Cosa manca'!D44="","",'Cosa manca'!D44)</f>
        <v>0.83333333333333337</v>
      </c>
      <c r="AG44" s="30">
        <v>0.85416666666666663</v>
      </c>
      <c r="AJ44" t="str">
        <f>IF('Cosa manca'!E44="","",'Cosa manca'!E44)</f>
        <v>ChIJm05Y_ibFh0gRrPhn7koVhmQ</v>
      </c>
      <c r="AK44" t="s">
        <v>51</v>
      </c>
      <c r="AL44" t="str">
        <f>IF('Cosa manca'!F44="","",'Cosa manca'!F44)</f>
        <v/>
      </c>
      <c r="AM44" t="str">
        <f>IF('Cosa manca'!G44="","",'Cosa manca'!G44)</f>
        <v/>
      </c>
      <c r="AN44" t="str">
        <f>IF('Cosa manca'!H44="","",'Cosa manca'!H44)</f>
        <v/>
      </c>
      <c r="AO44" t="str">
        <f>IF('Cosa manca'!I44="","",'Cosa manca'!I44)</f>
        <v>Riconsegna del veicolo a noleggio prima del rientro in aeroporto.</v>
      </c>
      <c r="AP44" t="str">
        <f>IF('Cosa manca'!J44="","",'Cosa manca'!J44)</f>
        <v>+44 131 333 5070</v>
      </c>
      <c r="AQ44" t="s">
        <v>37</v>
      </c>
      <c r="AS44" t="s">
        <v>37</v>
      </c>
      <c r="AT44">
        <v>0</v>
      </c>
      <c r="AU44" t="str">
        <f>IF('Cosa manca'!L44="SI","SI","")</f>
        <v/>
      </c>
    </row>
    <row r="45" spans="2:47" x14ac:dyDescent="0.2">
      <c r="B45" s="31"/>
      <c r="F45" s="32"/>
      <c r="H45" s="32"/>
      <c r="AA45" t="s">
        <v>302</v>
      </c>
      <c r="AB45">
        <f>IF('Cosa manca'!C45="","",'Cosa manca'!C45)</f>
        <v>46249</v>
      </c>
      <c r="AC45" t="str">
        <f>IF('Cosa manca'!B45="","",'Cosa manca'!B45)</f>
        <v>Alloggio</v>
      </c>
      <c r="AD45" t="str">
        <f>IF('Cosa manca'!A45="","",'Cosa manca'!A45)</f>
        <v>DoubleTree by Hilton Edinburgh Airport (2a notte)</v>
      </c>
      <c r="AE45" t="s">
        <v>33</v>
      </c>
      <c r="AF45">
        <f>IF('Cosa manca'!D45="","",'Cosa manca'!D45)</f>
        <v>0.86458333333333337</v>
      </c>
      <c r="AG45" t="s">
        <v>41</v>
      </c>
      <c r="AI45" t="s">
        <v>304</v>
      </c>
      <c r="AJ45" t="str">
        <f>IF('Cosa manca'!E45="","",'Cosa manca'!E45)</f>
        <v>ChIJgV8j2gXFh0gR-kpGqwUreYk</v>
      </c>
      <c r="AK45" t="s">
        <v>44</v>
      </c>
      <c r="AL45" t="str">
        <f>IF('Cosa manca'!F45="","",'Cosa manca'!F45)</f>
        <v/>
      </c>
      <c r="AM45" t="str">
        <f>IF('Cosa manca'!G45="","",'Cosa manca'!G45)</f>
        <v/>
      </c>
      <c r="AN45" t="str">
        <f>IF('Cosa manca'!H45="","",'Cosa manca'!H45)</f>
        <v/>
      </c>
      <c r="AO45" t="str">
        <f>IF('Cosa manca'!I45="","",'Cosa manca'!I45)</f>
        <v>Hotel 4 stelle a pochi minuti dall'aeroporto di Edimburgo.</v>
      </c>
      <c r="AP45" t="str">
        <f>IF('Cosa manca'!J45="","",'Cosa manca'!J45)</f>
        <v>+44 131 519 4400</v>
      </c>
      <c r="AQ45" t="s">
        <v>37</v>
      </c>
      <c r="AS45" t="s">
        <v>37</v>
      </c>
      <c r="AT45">
        <v>0</v>
      </c>
      <c r="AU45" t="str">
        <f>IF('Cosa manca'!L45="SI","SI","")</f>
        <v/>
      </c>
    </row>
    <row r="46" spans="2:47" x14ac:dyDescent="0.2">
      <c r="B46" s="31"/>
      <c r="F46" s="32"/>
      <c r="H46" s="32"/>
      <c r="AA46" t="s">
        <v>305</v>
      </c>
      <c r="AB46">
        <f>IF('Cosa manca'!C46="","",'Cosa manca'!C46)</f>
        <v>46249</v>
      </c>
      <c r="AC46" t="str">
        <f>IF('Cosa manca'!B46="","",'Cosa manca'!B46)</f>
        <v>Relax</v>
      </c>
      <c r="AD46" t="str">
        <f>IF('Cosa manca'!A46="","",'Cosa manca'!A46)</f>
        <v>Olive &amp; Stone (DoubleTree Edinburgh Airport) - cena</v>
      </c>
      <c r="AE46" t="s">
        <v>33</v>
      </c>
      <c r="AF46">
        <f>IF('Cosa manca'!D46="","",'Cosa manca'!D46)</f>
        <v>0.86458333333333337</v>
      </c>
      <c r="AH46" s="30">
        <v>0.89583333333333337</v>
      </c>
      <c r="AJ46" t="str">
        <f>IF('Cosa manca'!E46="","",'Cosa manca'!E46)</f>
        <v>ChIJidoQ4QTFh0gR_Crunap6Oy4</v>
      </c>
      <c r="AL46" t="str">
        <f>IF('Cosa manca'!F46="","",'Cosa manca'!F46)</f>
        <v/>
      </c>
      <c r="AM46" t="str">
        <f>IF('Cosa manca'!G46="","",'Cosa manca'!G46)</f>
        <v/>
      </c>
      <c r="AN46" t="str">
        <f>IF('Cosa manca'!H46="","",'Cosa manca'!H46)</f>
        <v>Aperto fino alle 22:00</v>
      </c>
      <c r="AO46" t="str">
        <f>IF('Cosa manca'!I46="","",'Cosa manca'!I46)</f>
        <v>Ristorante dentro il DoubleTree stesso: comodo dopo il check-in tardivo. Cena oltre la finestra ideale (18:00-19:30), inevitabile per via della riconsegna auto alle 20:00-20:30.</v>
      </c>
      <c r="AP46" t="str">
        <f>IF('Cosa manca'!J46="","",'Cosa manca'!J46)</f>
        <v/>
      </c>
      <c r="AQ46" t="s">
        <v>37</v>
      </c>
      <c r="AS46" t="s">
        <v>37</v>
      </c>
      <c r="AT46">
        <v>0</v>
      </c>
      <c r="AU46" t="str">
        <f>IF('Cosa manca'!L46="SI","SI","")</f>
        <v/>
      </c>
    </row>
    <row r="47" spans="2:47" x14ac:dyDescent="0.2">
      <c r="B47" s="31"/>
      <c r="F47" s="32"/>
      <c r="H47" s="32"/>
      <c r="AA47" t="s">
        <v>310</v>
      </c>
      <c r="AB47">
        <f>IF('Cosa manca'!C47="","",'Cosa manca'!C47)</f>
        <v>46250</v>
      </c>
      <c r="AC47" t="str">
        <f>IF('Cosa manca'!B47="","",'Cosa manca'!B47)</f>
        <v>Trasporto</v>
      </c>
      <c r="AD47" t="str">
        <f>IF('Cosa manca'!A47="","",'Cosa manca'!A47)</f>
        <v>Volo di partenza LH2525 (Edimburgo)</v>
      </c>
      <c r="AE47" t="s">
        <v>33</v>
      </c>
      <c r="AF47" t="str">
        <f>IF('Cosa manca'!D47="","",'Cosa manca'!D47)</f>
        <v/>
      </c>
      <c r="AG47" t="s">
        <v>312</v>
      </c>
      <c r="AJ47" t="str">
        <f>IF('Cosa manca'!E47="","",'Cosa manca'!E47)</f>
        <v>ChIJfQHjkw7Fh0gRm9WxkiUKUxk</v>
      </c>
      <c r="AL47" t="str">
        <f>IF('Cosa manca'!F47="","",'Cosa manca'!F47)</f>
        <v/>
      </c>
      <c r="AM47" t="str">
        <f>IF('Cosa manca'!G47="","",'Cosa manca'!G47)</f>
        <v/>
      </c>
      <c r="AN47" t="str">
        <f>IF('Cosa manca'!H47="","",'Cosa manca'!H47)</f>
        <v/>
      </c>
      <c r="AO47" t="str">
        <f>IF('Cosa manca'!I47="","",'Cosa manca'!I47)</f>
        <v>Volo Lufthansa in partenza da Edimburgo verso il rientro.</v>
      </c>
      <c r="AP47" t="str">
        <f>IF('Cosa manca'!J47="","",'Cosa manca'!J47)</f>
        <v/>
      </c>
      <c r="AQ47" t="s">
        <v>37</v>
      </c>
      <c r="AS47" t="s">
        <v>37</v>
      </c>
      <c r="AT47">
        <v>0</v>
      </c>
      <c r="AU47" t="str">
        <f>IF('Cosa manca'!L47="SI","SI","")</f>
        <v/>
      </c>
    </row>
    <row r="48" spans="2:47" x14ac:dyDescent="0.2">
      <c r="B48" s="31"/>
      <c r="F48" s="32"/>
      <c r="H48" s="32"/>
      <c r="AA48" t="s">
        <v>314</v>
      </c>
      <c r="AB48" t="str">
        <f>IF('Cosa manca'!C48="","",'Cosa manca'!C48)</f>
        <v/>
      </c>
      <c r="AC48" t="str">
        <f>IF('Cosa manca'!B48="","",'Cosa manca'!B48)</f>
        <v>Trasporto</v>
      </c>
      <c r="AD48" t="str">
        <f>IF('Cosa manca'!A48="","",'Cosa manca'!A48)</f>
        <v>Aeroporto di Edimburgo</v>
      </c>
      <c r="AE48" t="s">
        <v>103</v>
      </c>
      <c r="AF48" t="str">
        <f>IF('Cosa manca'!D48="","",'Cosa manca'!D48)</f>
        <v/>
      </c>
      <c r="AJ48" t="str">
        <f>IF('Cosa manca'!E48="","",'Cosa manca'!E48)</f>
        <v>ChIJfQHjkw7Fh0gRm9WxkiUKUxk</v>
      </c>
      <c r="AK48" t="s">
        <v>316</v>
      </c>
      <c r="AL48" t="str">
        <f>IF('Cosa manca'!F48="","",'Cosa manca'!F48)</f>
        <v/>
      </c>
      <c r="AM48" t="str">
        <f>IF('Cosa manca'!G48="","",'Cosa manca'!G48)</f>
        <v/>
      </c>
      <c r="AN48" t="str">
        <f>IF('Cosa manca'!H48="","",'Cosa manca'!H48)</f>
        <v/>
      </c>
      <c r="AO48" t="str">
        <f>IF('Cosa manca'!I48="","",'Cosa manca'!I48)</f>
        <v>Aeroporto principale di Edimburgo.</v>
      </c>
      <c r="AP48" t="str">
        <f>IF('Cosa manca'!J48="","",'Cosa manca'!J48)</f>
        <v>+44 131 357 6337</v>
      </c>
      <c r="AQ48" t="s">
        <v>37</v>
      </c>
      <c r="AR48" t="s">
        <v>109</v>
      </c>
      <c r="AS48" t="s">
        <v>37</v>
      </c>
      <c r="AT48">
        <v>0</v>
      </c>
      <c r="AU48" t="str">
        <f>IF('Cosa manca'!L48="SI","SI","")</f>
        <v/>
      </c>
    </row>
    <row r="49" spans="2:47" x14ac:dyDescent="0.2">
      <c r="B49" s="31"/>
      <c r="F49" s="32"/>
      <c r="H49" s="32"/>
      <c r="AA49" t="s">
        <v>319</v>
      </c>
      <c r="AB49" t="str">
        <f>IF('Cosa manca'!C49="","",'Cosa manca'!C49)</f>
        <v/>
      </c>
      <c r="AC49" t="str">
        <f>IF('Cosa manca'!B49="","",'Cosa manca'!B49)</f>
        <v>Tappa</v>
      </c>
      <c r="AD49" t="str">
        <f>IF('Cosa manca'!A49="","",'Cosa manca'!A49)</f>
        <v>Arisaig</v>
      </c>
      <c r="AE49" t="s">
        <v>103</v>
      </c>
      <c r="AF49" t="str">
        <f>IF('Cosa manca'!D49="","",'Cosa manca'!D49)</f>
        <v/>
      </c>
      <c r="AJ49" t="str">
        <f>IF('Cosa manca'!E49="","",'Cosa manca'!E49)</f>
        <v>ChIJCQOLaBUCjEgRpW2J-RY7PwY</v>
      </c>
      <c r="AK49" t="s">
        <v>322</v>
      </c>
      <c r="AL49" t="str">
        <f>IF('Cosa manca'!F49="","",'Cosa manca'!F49)</f>
        <v/>
      </c>
      <c r="AM49" t="str">
        <f>IF('Cosa manca'!G49="","",'Cosa manca'!G49)</f>
        <v/>
      </c>
      <c r="AN49" t="str">
        <f>IF('Cosa manca'!H49="","",'Cosa manca'!H49)</f>
        <v/>
      </c>
      <c r="AO49" t="str">
        <f>IF('Cosa manca'!I49="","",'Cosa manca'!I49)</f>
        <v>Villaggio costiero sulla strada per le Ebridi, punto di sosta suggestivo.</v>
      </c>
      <c r="AP49" t="str">
        <f>IF('Cosa manca'!J49="","",'Cosa manca'!J49)</f>
        <v/>
      </c>
      <c r="AQ49" t="s">
        <v>37</v>
      </c>
      <c r="AR49" t="s">
        <v>109</v>
      </c>
      <c r="AS49" t="s">
        <v>37</v>
      </c>
      <c r="AT49">
        <v>0</v>
      </c>
      <c r="AU49" t="str">
        <f>IF('Cosa manca'!L49="SI","SI","")</f>
        <v/>
      </c>
    </row>
    <row r="50" spans="2:47" x14ac:dyDescent="0.2">
      <c r="B50" s="31"/>
      <c r="F50" s="32"/>
      <c r="H50" s="32"/>
      <c r="AA50" t="s">
        <v>324</v>
      </c>
      <c r="AB50" t="str">
        <f>IF('Cosa manca'!C50="","",'Cosa manca'!C50)</f>
        <v/>
      </c>
      <c r="AC50" t="str">
        <f>IF('Cosa manca'!B50="","",'Cosa manca'!B50)</f>
        <v>Alloggio</v>
      </c>
      <c r="AD50" t="str">
        <f>IF('Cosa manca'!A50="","",'Cosa manca'!A50)</f>
        <v>Cairn Hotel Edinburgh</v>
      </c>
      <c r="AE50" t="s">
        <v>103</v>
      </c>
      <c r="AF50" t="str">
        <f>IF('Cosa manca'!D50="","",'Cosa manca'!D50)</f>
        <v/>
      </c>
      <c r="AJ50" t="str">
        <f>IF('Cosa manca'!E50="","",'Cosa manca'!E50)</f>
        <v>ChIJgd0nrIvHh0gRHeP-DdKnRgw</v>
      </c>
      <c r="AK50" t="s">
        <v>327</v>
      </c>
      <c r="AL50" t="str">
        <f>IF('Cosa manca'!F50="","",'Cosa manca'!F50)</f>
        <v/>
      </c>
      <c r="AM50" t="str">
        <f>IF('Cosa manca'!G50="","",'Cosa manca'!G50)</f>
        <v/>
      </c>
      <c r="AN50" t="str">
        <f>IF('Cosa manca'!H50="","",'Cosa manca'!H50)</f>
        <v/>
      </c>
      <c r="AO50" t="str">
        <f>IF('Cosa manca'!I50="","",'Cosa manca'!I50)</f>
        <v>Hotel centrale a Edimburgo, vicino a Calton Hill. (Alternativa di alloggio non utilizzata: per il viaggio avete confermato il DoubleTree by Hilton Edinburgh Airport.)</v>
      </c>
      <c r="AP50" t="str">
        <f>IF('Cosa manca'!J50="","",'Cosa manca'!J50)</f>
        <v>+44 131 557 0175</v>
      </c>
      <c r="AQ50" t="s">
        <v>37</v>
      </c>
      <c r="AR50" t="s">
        <v>109</v>
      </c>
      <c r="AS50" t="s">
        <v>37</v>
      </c>
      <c r="AT50">
        <v>0</v>
      </c>
      <c r="AU50" t="str">
        <f>IF('Cosa manca'!L50="SI","SI","")</f>
        <v/>
      </c>
    </row>
    <row r="51" spans="2:47" x14ac:dyDescent="0.2">
      <c r="B51" s="31"/>
      <c r="F51" s="32"/>
      <c r="H51" s="32"/>
      <c r="AA51" t="s">
        <v>330</v>
      </c>
      <c r="AB51" t="str">
        <f>IF('Cosa manca'!C51="","",'Cosa manca'!C51)</f>
        <v/>
      </c>
      <c r="AC51" t="str">
        <f>IF('Cosa manca'!B51="","",'Cosa manca'!B51)</f>
        <v>Attività</v>
      </c>
      <c r="AD51" t="str">
        <f>IF('Cosa manca'!A51="","",'Cosa manca'!A51)</f>
        <v>Castello di Dunnottar</v>
      </c>
      <c r="AE51" t="s">
        <v>103</v>
      </c>
      <c r="AF51" t="str">
        <f>IF('Cosa manca'!D51="","",'Cosa manca'!D51)</f>
        <v/>
      </c>
      <c r="AJ51" t="str">
        <f>IF('Cosa manca'!E51="","",'Cosa manca'!E51)</f>
        <v>ChIJBUM-uswdhEgRlZgNtFiu9Fc</v>
      </c>
      <c r="AK51" t="s">
        <v>333</v>
      </c>
      <c r="AL51" t="str">
        <f>IF('Cosa manca'!F51="","",'Cosa manca'!F51)</f>
        <v/>
      </c>
      <c r="AM51" t="str">
        <f>IF('Cosa manca'!G51="","",'Cosa manca'!G51)</f>
        <v>~13 £ (stimato)</v>
      </c>
      <c r="AN51" t="str">
        <f>IF('Cosa manca'!H51="","",'Cosa manca'!H51)</f>
        <v>09:00-18:00 (tutti i giorni)</v>
      </c>
      <c r="AO51" t="str">
        <f>IF('Cosa manca'!I51="","",'Cosa manca'!I51)</f>
        <v>Rovine di un castello medievale su una scogliera a picco sul mare, vicino a Stonehaven. (Fuori dal percorso pianificato: si trova vicino Aberdeen, lontano dalle altre tappe.)</v>
      </c>
      <c r="AP51" t="str">
        <f>IF('Cosa manca'!J51="","",'Cosa manca'!J51)</f>
        <v>+44 1569 766320</v>
      </c>
      <c r="AQ51" t="s">
        <v>63</v>
      </c>
      <c r="AR51" t="s">
        <v>109</v>
      </c>
      <c r="AS51" t="s">
        <v>37</v>
      </c>
      <c r="AT51">
        <v>0</v>
      </c>
      <c r="AU51" t="str">
        <f>IF('Cosa manca'!L51="SI","SI","")</f>
        <v/>
      </c>
    </row>
    <row r="52" spans="2:47" x14ac:dyDescent="0.2">
      <c r="B52" s="31"/>
      <c r="F52" s="32"/>
      <c r="H52" s="32"/>
      <c r="AA52" t="s">
        <v>338</v>
      </c>
      <c r="AB52" t="str">
        <f>IF('Cosa manca'!C52="","",'Cosa manca'!C52)</f>
        <v/>
      </c>
      <c r="AC52" t="str">
        <f>IF('Cosa manca'!B52="","",'Cosa manca'!B52)</f>
        <v>Attività</v>
      </c>
      <c r="AD52" t="str">
        <f>IF('Cosa manca'!A52="","",'Cosa manca'!A52)</f>
        <v>Glenfinnan Viaduct</v>
      </c>
      <c r="AE52" t="s">
        <v>103</v>
      </c>
      <c r="AF52" t="str">
        <f>IF('Cosa manca'!D52="","",'Cosa manca'!D52)</f>
        <v/>
      </c>
      <c r="AJ52" t="str">
        <f>IF('Cosa manca'!E52="","",'Cosa manca'!E52)</f>
        <v>ChIJtaE4NcmzjkgR5z8-41V_s_c</v>
      </c>
      <c r="AK52" t="s">
        <v>341</v>
      </c>
      <c r="AL52" t="str">
        <f>IF('Cosa manca'!F52="","",'Cosa manca'!F52)</f>
        <v/>
      </c>
      <c r="AM52" t="str">
        <f>IF('Cosa manca'!G52="","",'Cosa manca'!G52)</f>
        <v/>
      </c>
      <c r="AN52" t="str">
        <f>IF('Cosa manca'!H52="","",'Cosa manca'!H52)</f>
        <v>Sempre aperto</v>
      </c>
      <c r="AO52" t="str">
        <f>IF('Cosa manca'!I52="","",'Cosa manca'!I52)</f>
        <v>Viadotto ferroviario reso famoso da Harry Potter, con passaggio del treno a vapore Jacobite.</v>
      </c>
      <c r="AP52" t="str">
        <f>IF('Cosa manca'!J52="","",'Cosa manca'!J52)</f>
        <v/>
      </c>
      <c r="AQ52" t="s">
        <v>63</v>
      </c>
      <c r="AR52" t="s">
        <v>109</v>
      </c>
      <c r="AS52" t="s">
        <v>37</v>
      </c>
      <c r="AT52">
        <v>0</v>
      </c>
      <c r="AU52" t="str">
        <f>IF('Cosa manca'!L52="SI","SI","")</f>
        <v/>
      </c>
    </row>
    <row r="53" spans="2:47" x14ac:dyDescent="0.2">
      <c r="B53" s="31"/>
      <c r="F53" s="32"/>
      <c r="H53" s="32"/>
      <c r="AA53" t="s">
        <v>343</v>
      </c>
      <c r="AB53" t="str">
        <f>IF('Cosa manca'!C53="","",'Cosa manca'!C53)</f>
        <v/>
      </c>
      <c r="AC53" t="str">
        <f>IF('Cosa manca'!B53="","",'Cosa manca'!B53)</f>
        <v>Attività</v>
      </c>
      <c r="AD53" t="str">
        <f>IF('Cosa manca'!A53="","",'Cosa manca'!A53)</f>
        <v>Traigh Beach</v>
      </c>
      <c r="AE53" t="s">
        <v>103</v>
      </c>
      <c r="AF53" t="str">
        <f>IF('Cosa manca'!D53="","",'Cosa manca'!D53)</f>
        <v/>
      </c>
      <c r="AJ53" t="str">
        <f>IF('Cosa manca'!E53="","",'Cosa manca'!E53)</f>
        <v>ChIJZX-C6YQDjEgRSOwgLqXv2xE</v>
      </c>
      <c r="AK53" t="s">
        <v>346</v>
      </c>
      <c r="AL53" t="str">
        <f>IF('Cosa manca'!F53="","",'Cosa manca'!F53)</f>
        <v/>
      </c>
      <c r="AM53" t="str">
        <f>IF('Cosa manca'!G53="","",'Cosa manca'!G53)</f>
        <v/>
      </c>
      <c r="AN53" t="str">
        <f>IF('Cosa manca'!H53="","",'Cosa manca'!H53)</f>
        <v>Sempre aperto</v>
      </c>
      <c r="AO53" t="str">
        <f>IF('Cosa manca'!I53="","",'Cosa manca'!I53)</f>
        <v>Spiaggia di sabbia bianca vicino ad Arisaig, con vista sulle isole di Eigg e Rum.</v>
      </c>
      <c r="AP53" t="str">
        <f>IF('Cosa manca'!J53="","",'Cosa manca'!J53)</f>
        <v/>
      </c>
      <c r="AQ53" t="s">
        <v>63</v>
      </c>
      <c r="AR53" t="s">
        <v>109</v>
      </c>
      <c r="AS53" t="s">
        <v>37</v>
      </c>
      <c r="AT53">
        <v>0</v>
      </c>
      <c r="AU53" t="str">
        <f>IF('Cosa manca'!L53="SI","SI","")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Istruzioni</vt:lpstr>
      <vt:lpstr>Luoghi (Eventi)</vt:lpstr>
      <vt:lpstr>Data Model</vt:lpstr>
      <vt:lpstr>Cosa manca</vt:lpstr>
      <vt:lpstr>Trash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Bortoletto</cp:lastModifiedBy>
  <dcterms:created xsi:type="dcterms:W3CDTF">2026-08-03T14:44:24Z</dcterms:created>
  <dcterms:modified xsi:type="dcterms:W3CDTF">2026-08-03T19:38:52Z</dcterms:modified>
</cp:coreProperties>
</file>